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ff57c071b0c4e5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40d5a58b5a974b11"/>
    <x:sheet xmlns:r="http://schemas.openxmlformats.org/officeDocument/2006/relationships" name="Assessment" sheetId="2" r:id="R8633c6eafd8240d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0"/>
    <x:numFmt numFmtId="202" formatCode="0.00"/>
  </x:numFmts>
  <x:fonts count="6">
    <x:font>
      <x:sz val="11"/>
      <x:name val="Carlito"/>
    </x:font>
    <x:font>
      <x:sz val="10"/>
      <x:color rgb="FF21364C"/>
      <x:name val="Arial"/>
    </x:font>
    <x:font>
      <x:b/>
      <x:sz val="16"/>
      <x:color rgb="FF21364C"/>
      <x:name val="Arial"/>
    </x:font>
    <x:font>
      <x:sz val="10"/>
      <x:color rgb="FF596B7C"/>
      <x:name val="Arial"/>
    </x:font>
    <x:font>
      <x:b/>
      <x:sz val="10"/>
      <x:color rgb="FFFFFFFF"/>
      <x:name val="Arial"/>
    </x:font>
    <x:font>
      <x:b/>
      <x:sz val="10"/>
      <x:color rgb="FF21364C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FFF6D9"/>
      </x:patternFill>
    </x:fill>
    <x:fill>
      <x:patternFill patternType="solid">
        <x:fgColor rgb="FF21364C"/>
      </x:patternFill>
    </x:fill>
  </x:fills>
  <x:borders count="1">
    <x:border/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200" fontId="1" fillId="2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2" fontId="5" fillId="0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2">
    <x:dxf>
      <x:fill>
        <x:patternFill patternType="solid">
          <x:bgColor rgb="FFFCE5D5"/>
        </x:patternFill>
      </x:fill>
    </x:dxf>
    <x:dxf>
      <x:fill>
        <x:patternFill patternType="solid">
          <x:bgColor rgb="FFE2F0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dcb9791805c441e" /><Relationship Type="http://schemas.openxmlformats.org/officeDocument/2006/relationships/theme" Target="/xl/theme/theme1.xml" Id="R503e3fafcb464561" /><Relationship Type="http://schemas.openxmlformats.org/officeDocument/2006/relationships/sharedStrings" Target="/xl/sharedStrings.xml" Id="R784622c6390a4a93" /><Relationship Type="http://schemas.openxmlformats.org/officeDocument/2006/relationships/worksheet" Target="/xl/worksheets/sheet1.xml" Id="R40d5a58b5a974b11" /><Relationship Type="http://schemas.openxmlformats.org/officeDocument/2006/relationships/worksheet" Target="/xl/worksheets/sheet2.xml" Id="R8633c6eafd8240da" /></Relationships>
</file>

<file path=xl/tables/table1.xml><?xml version="1.0" encoding="utf-8"?>
<x:table xmlns:x="http://schemas.openxmlformats.org/spreadsheetml/2006/main" id="1" name="PolicyAssessment" displayName="PolicyAssessment" ref="A6:K92" headerRowCount="1" totalsRowCount="0" totalsRowShown="0">
  <x:tableColumns count="11">
    <x:tableColumn id="1" name="Requirement ID"/>
    <x:tableColumn id="2" name="Area"/>
    <x:tableColumn id="3" name="Assessment prompt"/>
    <x:tableColumn id="4" name="Rating"/>
    <x:tableColumn id="5" name="Evidence"/>
    <x:tableColumn id="6" name="Owner"/>
    <x:tableColumn id="7" name="Next action"/>
    <x:tableColumn id="8" name="Due date"/>
    <x:tableColumn id="9" name="Exclusion reason"/>
    <x:tableColumn id="10" name="Score"/>
    <x:tableColumn id="11" name="Policy reference"/>
  </x:tableColumns>
  <x:tableStyleInfo name="TableStyleMedium2" showFirstColumn="0" showLastColumn="0" showRowStripes="0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3c5d050a7e24492" /></Relationships>
</file>

<file path=xl/worksheets/sheet1.xml><?xml version="1.0" encoding="utf-8"?>
<x:worksheet xmlns:x="http://schemas.openxmlformats.org/spreadsheetml/2006/main">
  <x:sheetPr>
    <x:tabColor rgb="FF21364C"/>
  </x:sheetPr>
  <x:sheetViews>
    <x:sheetView showGridLines="0" workbookViewId="0"/>
  </x:sheetViews>
  <x:sheetFormatPr defaultRowHeight="15"/>
  <x:cols>
    <x:col min="1" max="1" width="26" hidden="0" customWidth="1"/>
    <x:col min="2" max="2" width="48" hidden="0" customWidth="1"/>
    <x:col min="3" max="3" width="3" hidden="0" customWidth="1"/>
    <x:col min="4" max="4" width="19" hidden="0" customWidth="1"/>
    <x:col min="5" max="5" width="14" hidden="0" customWidth="1"/>
    <x:col min="6" max="6" width="14" hidden="0" customWidth="1"/>
    <x:col min="7" max="7" width="14" hidden="0" customWidth="1"/>
    <x:col min="8" max="8" width="3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</x:row>
    <x:row r="2" ht="24" customHeight="1">
      <x:c r="A2" s="3" t="str">
        <x:v>WA policy self-assessment</x:v>
      </x:c>
      <x:c r="B2" s="3"/>
      <x:c r="C2" s="3"/>
      <x:c r="D2" s="3"/>
      <x:c r="E2" s="3"/>
      <x:c r="F2" s="3"/>
      <x:c r="G2" s="3"/>
      <x:c r="H2" s="2"/>
    </x:row>
    <x:row r="3" ht="24" customHeight="1">
      <x:c r="A3" s="4" t="str">
        <x:v>Complete the amber input cells.</x:v>
      </x:c>
      <x:c r="B3" s="4"/>
      <x:c r="C3" s="4"/>
      <x:c r="D3" s="4"/>
      <x:c r="E3" s="4"/>
      <x:c r="F3" s="4"/>
      <x:c r="G3" s="4"/>
      <x:c r="H3" s="2"/>
    </x:row>
    <x:row r="4" ht="24" customHeight="1">
      <x:c r="A4" s="2"/>
      <x:c r="B4" s="2"/>
      <x:c r="C4" s="2"/>
      <x:c r="D4" s="2"/>
      <x:c r="E4" s="2"/>
      <x:c r="F4" s="2"/>
      <x:c r="G4" s="2"/>
      <x:c r="H4" s="2"/>
    </x:row>
    <x:row r="5" ht="30" customHeight="1">
      <x:c r="A5" s="2" t="str">
        <x:v>Department</x:v>
      </x:c>
      <x:c r="B5" s="6" t="str"/>
      <x:c r="C5" s="2"/>
      <x:c r="D5" s="12" t="str">
        <x:v>Policy area</x:v>
      </x:c>
      <x:c r="E5" s="12" t="str">
        <x:v>Mean (0–4)</x:v>
      </x:c>
      <x:c r="F5" s="12" t="str">
        <x:v>Rated</x:v>
      </x:c>
      <x:c r="G5" s="12" t="str">
        <x:v>Applicable</x:v>
      </x:c>
      <x:c r="H5" s="2"/>
    </x:row>
    <x:row r="6" ht="24" customHeight="1">
      <x:c r="A6" s="2" t="str">
        <x:v>Assessment year</x:v>
      </x:c>
      <x:c r="B6" s="6" t="n">
        <x:v>2026</x:v>
      </x:c>
      <x:c r="C6" s="2"/>
      <x:c r="D6" s="2" t="str">
        <x:v>Govern</x:v>
      </x:c>
      <x:c r="E6" s="14" t="str">
        <x:f>IF(OR(F6=0,F6&lt;&gt;G6),"Not assessed",SUMIFS(Assessment!$J$7:$J$92,Assessment!$B$7:$B$92,D6)/F6)</x:f>
        <x:v>Not assessed</x:v>
      </x:c>
      <x:c r="F6" s="2" t="n">
        <x:f>COUNTIFS(Assessment!$B$7:$B$92,D6,Assessment!$D$7:$D$92,0)+COUNTIFS(Assessment!$B$7:$B$92,D6,Assessment!$D$7:$D$92,1)+COUNTIFS(Assessment!$B$7:$B$92,D6,Assessment!$D$7:$D$92,2)+COUNTIFS(Assessment!$B$7:$B$92,D6,Assessment!$D$7:$D$92,3)+COUNTIFS(Assessment!$B$7:$B$92,D6,Assessment!$D$7:$D$92,4)</x:f>
        <x:v>0</x:v>
      </x:c>
      <x:c r="G6" s="2" t="n">
        <x:f>COUNTIFS(Assessment!$B$7:$B$92,D6)-COUNTIFS(Assessment!$B$7:$B$92,D6,Assessment!$D$7:$D$92,"N/A")</x:f>
        <x:v>24</x:v>
      </x:c>
      <x:c r="H6" s="2"/>
    </x:row>
    <x:row r="7" ht="24" customHeight="1">
      <x:c r="A7" s="2" t="str">
        <x:v>Assessment date</x:v>
      </x:c>
      <x:c r="B7" s="8"/>
      <x:c r="C7" s="2"/>
      <x:c r="D7" s="2" t="str">
        <x:v>Identify</x:v>
      </x:c>
      <x:c r="E7" s="14" t="str">
        <x:f>IF(OR(F7=0,F7&lt;&gt;G7),"Not assessed",SUMIFS(Assessment!$J$7:$J$92,Assessment!$B$7:$B$92,D7)/F7)</x:f>
        <x:v>Not assessed</x:v>
      </x:c>
      <x:c r="F7" s="2" t="n">
        <x:f>COUNTIFS(Assessment!$B$7:$B$92,D7,Assessment!$D$7:$D$92,0)+COUNTIFS(Assessment!$B$7:$B$92,D7,Assessment!$D$7:$D$92,1)+COUNTIFS(Assessment!$B$7:$B$92,D7,Assessment!$D$7:$D$92,2)+COUNTIFS(Assessment!$B$7:$B$92,D7,Assessment!$D$7:$D$92,3)+COUNTIFS(Assessment!$B$7:$B$92,D7,Assessment!$D$7:$D$92,4)</x:f>
        <x:v>0</x:v>
      </x:c>
      <x:c r="G7" s="2" t="n">
        <x:f>COUNTIFS(Assessment!$B$7:$B$92,D7)-COUNTIFS(Assessment!$B$7:$B$92,D7,Assessment!$D$7:$D$92,"N/A")</x:f>
        <x:v>14</x:v>
      </x:c>
      <x:c r="H7" s="2"/>
    </x:row>
    <x:row r="8" ht="45" customHeight="1">
      <x:c r="A8" s="2" t="str">
        <x:v>Assessor</x:v>
      </x:c>
      <x:c r="B8" s="6" t="str"/>
      <x:c r="C8" s="2"/>
      <x:c r="D8" s="2" t="str">
        <x:v>Protect</x:v>
      </x:c>
      <x:c r="E8" s="14" t="str">
        <x:f>IF(OR(F8=0,F8&lt;&gt;G8),"Not assessed",SUMIFS(Assessment!$J$7:$J$92,Assessment!$B$7:$B$92,D8)/F8)</x:f>
        <x:v>Not assessed</x:v>
      </x:c>
      <x:c r="F8" s="2" t="n">
        <x:f>COUNTIFS(Assessment!$B$7:$B$92,D8,Assessment!$D$7:$D$92,0)+COUNTIFS(Assessment!$B$7:$B$92,D8,Assessment!$D$7:$D$92,1)+COUNTIFS(Assessment!$B$7:$B$92,D8,Assessment!$D$7:$D$92,2)+COUNTIFS(Assessment!$B$7:$B$92,D8,Assessment!$D$7:$D$92,3)+COUNTIFS(Assessment!$B$7:$B$92,D8,Assessment!$D$7:$D$92,4)</x:f>
        <x:v>0</x:v>
      </x:c>
      <x:c r="G8" s="2" t="n">
        <x:f>COUNTIFS(Assessment!$B$7:$B$92,D8)-COUNTIFS(Assessment!$B$7:$B$92,D8,Assessment!$D$7:$D$92,"N/A")</x:f>
        <x:v>32</x:v>
      </x:c>
      <x:c r="H8" s="2"/>
    </x:row>
    <x:row r="9" ht="45" customHeight="1">
      <x:c r="A9" s="2" t="str">
        <x:v>Scope</x:v>
      </x:c>
      <x:c r="B9" s="6" t="str"/>
      <x:c r="C9" s="2"/>
      <x:c r="D9" s="2" t="str">
        <x:v>Detect</x:v>
      </x:c>
      <x:c r="E9" s="14" t="str">
        <x:f>IF(OR(F9=0,F9&lt;&gt;G9),"Not assessed",SUMIFS(Assessment!$J$7:$J$92,Assessment!$B$7:$B$92,D9)/F9)</x:f>
        <x:v>Not assessed</x:v>
      </x:c>
      <x:c r="F9" s="2" t="n">
        <x:f>COUNTIFS(Assessment!$B$7:$B$92,D9,Assessment!$D$7:$D$92,0)+COUNTIFS(Assessment!$B$7:$B$92,D9,Assessment!$D$7:$D$92,1)+COUNTIFS(Assessment!$B$7:$B$92,D9,Assessment!$D$7:$D$92,2)+COUNTIFS(Assessment!$B$7:$B$92,D9,Assessment!$D$7:$D$92,3)+COUNTIFS(Assessment!$B$7:$B$92,D9,Assessment!$D$7:$D$92,4)</x:f>
        <x:v>0</x:v>
      </x:c>
      <x:c r="G9" s="2" t="n">
        <x:f>COUNTIFS(Assessment!$B$7:$B$92,D9)-COUNTIFS(Assessment!$B$7:$B$92,D9,Assessment!$D$7:$D$92,"N/A")</x:f>
        <x:v>7</x:v>
      </x:c>
      <x:c r="H9" s="2"/>
    </x:row>
    <x:row r="10" ht="24" customHeight="1">
      <x:c r="A10" s="2" t="str">
        <x:v>Policy edition</x:v>
      </x:c>
      <x:c r="B10" s="7" t="str">
        <x:v>WA Cyber Security Policy 2024</x:v>
      </x:c>
      <x:c r="C10" s="2"/>
      <x:c r="D10" s="2" t="str">
        <x:v>Respond</x:v>
      </x:c>
      <x:c r="E10" s="14" t="str">
        <x:f>IF(OR(F10=0,F10&lt;&gt;G10),"Not assessed",SUMIFS(Assessment!$J$7:$J$92,Assessment!$B$7:$B$92,D10)/F10)</x:f>
        <x:v>Not assessed</x:v>
      </x:c>
      <x:c r="F10" s="2" t="n">
        <x:f>COUNTIFS(Assessment!$B$7:$B$92,D10,Assessment!$D$7:$D$92,0)+COUNTIFS(Assessment!$B$7:$B$92,D10,Assessment!$D$7:$D$92,1)+COUNTIFS(Assessment!$B$7:$B$92,D10,Assessment!$D$7:$D$92,2)+COUNTIFS(Assessment!$B$7:$B$92,D10,Assessment!$D$7:$D$92,3)+COUNTIFS(Assessment!$B$7:$B$92,D10,Assessment!$D$7:$D$92,4)</x:f>
        <x:v>0</x:v>
      </x:c>
      <x:c r="G10" s="2" t="n">
        <x:f>COUNTIFS(Assessment!$B$7:$B$92,D10)-COUNTIFS(Assessment!$B$7:$B$92,D10,Assessment!$D$7:$D$92,"N/A")</x:f>
        <x:v>7</x:v>
      </x:c>
      <x:c r="H10" s="2"/>
    </x:row>
    <x:row r="11" ht="24" customHeight="1">
      <x:c r="A11" s="2" t="str">
        <x:v>Template version</x:v>
      </x:c>
      <x:c r="B11" s="7" t="str">
        <x:v>wacc-wa-csp-2024-v1</x:v>
      </x:c>
      <x:c r="C11" s="2"/>
      <x:c r="D11" s="2" t="str">
        <x:v>Recover</x:v>
      </x:c>
      <x:c r="E11" s="14" t="str">
        <x:f>IF(OR(F11=0,F11&lt;&gt;G11),"Not assessed",SUMIFS(Assessment!$J$7:$J$92,Assessment!$B$7:$B$92,D11)/F11)</x:f>
        <x:v>Not assessed</x:v>
      </x:c>
      <x:c r="F11" s="2" t="n">
        <x:f>COUNTIFS(Assessment!$B$7:$B$92,D11,Assessment!$D$7:$D$92,0)+COUNTIFS(Assessment!$B$7:$B$92,D11,Assessment!$D$7:$D$92,1)+COUNTIFS(Assessment!$B$7:$B$92,D11,Assessment!$D$7:$D$92,2)+COUNTIFS(Assessment!$B$7:$B$92,D11,Assessment!$D$7:$D$92,3)+COUNTIFS(Assessment!$B$7:$B$92,D11,Assessment!$D$7:$D$92,4)</x:f>
        <x:v>0</x:v>
      </x:c>
      <x:c r="G11" s="2" t="n">
        <x:f>COUNTIFS(Assessment!$B$7:$B$92,D11)-COUNTIFS(Assessment!$B$7:$B$92,D11,Assessment!$D$7:$D$92,"N/A")</x:f>
        <x:v>2</x:v>
      </x:c>
      <x:c r="H11" s="2"/>
    </x:row>
    <x:row r="12" ht="24" customHeight="1">
      <x:c r="A12" s="2" t="str">
        <x:v>Retrospective</x:v>
      </x:c>
      <x:c r="B12" s="6" t="str">
        <x:v>No</x:v>
      </x:c>
      <x:c r="C12" s="2"/>
      <x:c r="D12" s="13" t="str">
        <x:v>Overall</x:v>
      </x:c>
      <x:c r="E12" s="15" t="str">
        <x:f>IF(OR(F12=0,F12&lt;&gt;G12),"Not assessed",SUM(Assessment!J7:J92)/F12)</x:f>
        <x:v>Not assessed</x:v>
      </x:c>
      <x:c r="F12" s="13" t="n">
        <x:f>SUM(F6:F11)</x:f>
        <x:v>0</x:v>
      </x:c>
      <x:c r="G12" s="13" t="n">
        <x:f>SUM(G6:G11)</x:f>
        <x:v>86</x:v>
      </x:c>
      <x:c r="H12" s="2"/>
    </x:row>
    <x:row r="13" ht="24" customHeight="1">
      <x:c r="A13" s="2"/>
      <x:c r="B13" s="2"/>
      <x:c r="C13" s="2"/>
      <x:c r="D13" s="2"/>
      <x:c r="E13" s="2"/>
      <x:c r="F13" s="2"/>
      <x:c r="G13" s="2"/>
      <x:c r="H13" s="2"/>
    </x:row>
    <x:row r="14" ht="24" customHeight="1">
      <x:c r="A14" s="2"/>
      <x:c r="B14" s="2"/>
      <x:c r="C14" s="2"/>
      <x:c r="D14" s="2"/>
      <x:c r="E14" s="2"/>
      <x:c r="F14" s="2"/>
      <x:c r="G14" s="2"/>
      <x:c r="H14" s="2"/>
    </x:row>
    <x:row r="15" ht="24" customHeight="1">
      <x:c r="A15" s="13" t="str">
        <x:v>WACC rating scale</x:v>
      </x:c>
      <x:c r="B15" s="13"/>
      <x:c r="C15" s="2"/>
      <x:c r="D15" s="13" t="str">
        <x:v>Completing this assessment</x:v>
      </x:c>
      <x:c r="E15" s="13"/>
      <x:c r="F15" s="13"/>
      <x:c r="G15" s="13"/>
      <x:c r="H15" s="2"/>
    </x:row>
    <x:row r="16" ht="24" customHeight="1">
      <x:c r="A16" s="2" t="n">
        <x:v>0</x:v>
      </x:c>
      <x:c r="B16" s="2" t="str">
        <x:v>Not started</x:v>
      </x:c>
      <x:c r="C16" s="2"/>
      <x:c r="D16" s="2" t="str">
        <x:v>1. Set department, year, date, assessor and scope.</x:v>
      </x:c>
      <x:c r="E16" s="2"/>
      <x:c r="F16" s="2"/>
      <x:c r="G16" s="2"/>
      <x:c r="H16" s="2"/>
    </x:row>
    <x:row r="17" ht="24" customHeight="1">
      <x:c r="A17" s="2" t="n">
        <x:v>1</x:v>
      </x:c>
      <x:c r="B17" s="2" t="str">
        <x:v>Planned</x:v>
      </x:c>
      <x:c r="C17" s="2"/>
      <x:c r="D17" s="2" t="str">
        <x:v>2. Rate all 86 rows on the Assessment sheet.</x:v>
      </x:c>
      <x:c r="E17" s="2"/>
      <x:c r="F17" s="2"/>
      <x:c r="G17" s="2"/>
      <x:c r="H17" s="2"/>
    </x:row>
    <x:row r="18" ht="24" customHeight="1">
      <x:c r="A18" s="2" t="n">
        <x:v>2</x:v>
      </x:c>
      <x:c r="B18" s="2" t="str">
        <x:v>Partly implemented</x:v>
      </x:c>
      <x:c r="C18" s="2"/>
      <x:c r="D18" s="2" t="str">
        <x:v>3. Record evidence, owners and next actions.</x:v>
      </x:c>
      <x:c r="E18" s="2"/>
      <x:c r="F18" s="2"/>
      <x:c r="G18" s="2"/>
      <x:c r="H18" s="2"/>
    </x:row>
    <x:row r="19" ht="24" customHeight="1">
      <x:c r="A19" s="2" t="n">
        <x:v>3</x:v>
      </x:c>
      <x:c r="B19" s="2" t="str">
        <x:v>Implemented</x:v>
      </x:c>
      <x:c r="C19" s="2"/>
      <x:c r="D19" s="2" t="str">
        <x:v>4. Save as XLSX; import on WACC Assessments.</x:v>
      </x:c>
      <x:c r="E19" s="2"/>
      <x:c r="F19" s="2"/>
      <x:c r="G19" s="2"/>
      <x:c r="H19" s="2"/>
    </x:row>
    <x:row r="20" ht="24" customHeight="1">
      <x:c r="A20" s="2" t="n">
        <x:v>4</x:v>
      </x:c>
      <x:c r="B20" s="2" t="str">
        <x:v>Tested and reviewed</x:v>
      </x:c>
      <x:c r="C20" s="2"/>
      <x:c r="D20" s="2" t="str">
        <x:v>Keep requirement IDs, prompts and headings.</x:v>
      </x:c>
      <x:c r="E20" s="2"/>
      <x:c r="F20" s="2"/>
      <x:c r="G20" s="2"/>
      <x:c r="H20" s="2"/>
    </x:row>
    <x:row r="21" ht="24" customHeight="1">
      <x:c r="A21" s="2" t="str">
        <x:v>Not assessed</x:v>
      </x:c>
      <x:c r="B21" s="2" t="str">
        <x:v>Outstanding assessment work</x:v>
      </x:c>
      <x:c r="C21" s="2"/>
      <x:c r="D21" s="2" t="str">
        <x:v>Ratings 3–4 need evidence. N/A needs a reason.</x:v>
      </x:c>
      <x:c r="E21" s="2"/>
      <x:c r="F21" s="2"/>
      <x:c r="G21" s="2"/>
      <x:c r="H21" s="2"/>
    </x:row>
    <x:row r="22" ht="24" customHeight="1">
      <x:c r="A22" s="2" t="str">
        <x:v>N/A</x:v>
      </x:c>
      <x:c r="B22" s="2" t="str">
        <x:v>Excluded with a recorded reason</x:v>
      </x:c>
      <x:c r="C22" s="2"/>
      <x:c r="D22" s="2" t="str">
        <x:v>Mark years before 2024 as retrospective.</x:v>
      </x:c>
      <x:c r="E22" s="2"/>
      <x:c r="F22" s="2"/>
      <x:c r="G22" s="2"/>
      <x:c r="H22" s="2"/>
    </x:row>
    <x:row r="23" ht="24" customHeight="1">
      <x:c r="A23" s="2"/>
      <x:c r="B23" s="2"/>
      <x:c r="C23" s="2"/>
      <x:c r="D23" s="2"/>
      <x:c r="E23" s="2"/>
      <x:c r="F23" s="2"/>
      <x:c r="G23" s="2"/>
      <x:c r="H23" s="2"/>
    </x:row>
    <x:row r="24" ht="24" customHeight="1">
      <x:c r="A24" s="2"/>
      <x:c r="B24" s="2"/>
      <x:c r="C24" s="2"/>
      <x:c r="D24" s="2"/>
      <x:c r="E24" s="2"/>
      <x:c r="F24" s="2"/>
      <x:c r="G24" s="2"/>
      <x:c r="H24" s="2"/>
    </x:row>
    <x:row r="25" ht="24" customHeight="1">
      <x:c r="A25" s="13" t="str">
        <x:v>Calculation</x:v>
      </x:c>
      <x:c r="B25" s="13"/>
      <x:c r="C25" s="2"/>
      <x:c r="D25" s="2"/>
      <x:c r="E25" s="2"/>
      <x:c r="F25" s="2"/>
      <x:c r="G25" s="2"/>
      <x:c r="H25" s="2"/>
    </x:row>
    <x:row r="26" ht="24" customHeight="1">
      <x:c r="A26" s="2" t="str">
        <x:v>WACC uses an equal-weight mean of the 0–4 ratings.</x:v>
      </x:c>
      <x:c r="B26" s="2"/>
      <x:c r="C26" s="2"/>
      <x:c r="D26" s="2"/>
      <x:c r="E26" s="2"/>
      <x:c r="F26" s="2"/>
      <x:c r="G26" s="2"/>
      <x:c r="H26" s="2"/>
    </x:row>
    <x:row r="27" ht="24" customHeight="1">
      <x:c r="A27" s="2" t="str">
        <x:v>A score is shown only when every applicable requirement is rated.</x:v>
      </x:c>
      <x:c r="B27" s="2"/>
      <x:c r="C27" s="2"/>
      <x:c r="D27" s="2"/>
      <x:c r="E27" s="2"/>
      <x:c r="F27" s="2"/>
      <x:c r="G27" s="2"/>
      <x:c r="H27" s="2"/>
    </x:row>
    <x:row r="28" ht="24" customHeight="1">
      <x:c r="A28" s="2" t="str">
        <x:v>N/A is excluded. Not assessed remains outstanding.</x:v>
      </x:c>
      <x:c r="B28" s="2"/>
      <x:c r="C28" s="2"/>
      <x:c r="D28" s="2"/>
      <x:c r="E28" s="2"/>
      <x:c r="F28" s="2"/>
      <x:c r="G28" s="2"/>
      <x:c r="H28" s="2"/>
    </x:row>
    <x:row r="29" ht="24" customHeight="1">
      <x:c r="A29" s="2" t="str">
        <x:v>This scale tracks progress; it is not an official WA or Essential Eight level.</x:v>
      </x:c>
      <x:c r="B29" s="2"/>
      <x:c r="C29" s="2"/>
      <x:c r="D29" s="2"/>
      <x:c r="E29" s="2"/>
      <x:c r="F29" s="2"/>
      <x:c r="G29" s="2"/>
      <x:c r="H29" s="2"/>
    </x:row>
    <x:row r="30" ht="24" customHeight="1">
      <x:c r="A30" s="2" t="str">
        <x:v>The chart in WACC compares the same applicable requirements across years.</x:v>
      </x:c>
      <x:c r="B30" s="2"/>
      <x:c r="C30" s="2"/>
      <x:c r="D30" s="2"/>
      <x:c r="E30" s="2"/>
      <x:c r="F30" s="2"/>
      <x:c r="G30" s="2"/>
      <x:c r="H30" s="2"/>
    </x:row>
    <x:row r="31" ht="24" customHeight="1">
      <x:c r="A31" s="2"/>
      <x:c r="B31" s="2"/>
      <x:c r="C31" s="2"/>
      <x:c r="D31" s="2"/>
      <x:c r="E31" s="2"/>
      <x:c r="F31" s="2"/>
      <x:c r="G31" s="2"/>
      <x:c r="H31" s="2"/>
    </x:row>
    <x:row r="32" ht="24" customHeight="1">
      <x:c r="A32" s="13" t="str">
        <x:v>Approval and reporting</x:v>
      </x:c>
      <x:c r="B32" s="13"/>
      <x:c r="C32" s="2"/>
      <x:c r="D32" s="2"/>
      <x:c r="E32" s="2"/>
      <x:c r="F32" s="2"/>
      <x:c r="G32" s="2"/>
      <x:c r="H32" s="2"/>
    </x:row>
    <x:row r="33" ht="32" customHeight="1">
      <x:c r="A33" s="2" t="str">
        <x:v>Accountable authority</x:v>
      </x:c>
      <x:c r="B33" s="6" t="str"/>
      <x:c r="C33" s="2"/>
      <x:c r="D33" s="2" t="str">
        <x:v>Policy reference: Reporting and Exemptions, p. 22.</x:v>
      </x:c>
      <x:c r="E33" s="2"/>
      <x:c r="F33" s="2"/>
      <x:c r="G33" s="2"/>
      <x:c r="H33" s="2"/>
    </x:row>
    <x:row r="34" ht="32" customHeight="1">
      <x:c r="A34" s="2" t="str">
        <x:v>Approval date</x:v>
      </x:c>
      <x:c r="B34" s="8"/>
      <x:c r="C34" s="2"/>
      <x:c r="D34" s="2"/>
      <x:c r="E34" s="2"/>
      <x:c r="F34" s="2"/>
      <x:c r="G34" s="2"/>
      <x:c r="H34" s="2"/>
    </x:row>
    <x:row r="35" ht="32" customHeight="1">
      <x:c r="A35" s="2" t="str">
        <x:v>AIR status</x:v>
      </x:c>
      <x:c r="B35" s="6" t="str">
        <x:v>Not requested</x:v>
      </x:c>
      <x:c r="C35" s="2"/>
      <x:c r="D35" s="2" t="str">
        <x:v>Record approval references for applicable exclusions.</x:v>
      </x:c>
      <x:c r="E35" s="2"/>
      <x:c r="F35" s="2"/>
      <x:c r="G35" s="2"/>
      <x:c r="H35" s="2"/>
    </x:row>
    <x:row r="36" ht="32" customHeight="1">
      <x:c r="A36" s="2" t="str">
        <x:v>AIR reference</x:v>
      </x:c>
      <x:c r="B36" s="6" t="str"/>
      <x:c r="C36" s="2"/>
      <x:c r="D36" s="2"/>
      <x:c r="E36" s="2"/>
      <x:c r="F36" s="2"/>
      <x:c r="G36" s="2"/>
      <x:c r="H36" s="2"/>
    </x:row>
    <x:row r="37" ht="32" customHeight="1">
      <x:c r="A37" s="2" t="str">
        <x:v>Exemptions reference</x:v>
      </x:c>
      <x:c r="B37" s="6" t="str"/>
      <x:c r="C37" s="2"/>
      <x:c r="D37" s="2"/>
      <x:c r="E37" s="2"/>
      <x:c r="F37" s="2"/>
      <x:c r="G37" s="2"/>
      <x:c r="H37" s="2"/>
    </x:row>
    <x:row r="38" ht="24" customHeight="1">
      <x:c r="A38" s="2"/>
      <x:c r="B38" s="2"/>
      <x:c r="C38" s="2"/>
      <x:c r="D38" s="2"/>
      <x:c r="E38" s="2"/>
      <x:c r="F38" s="2"/>
      <x:c r="G38" s="2"/>
      <x:c r="H38" s="2"/>
    </x:row>
    <x:row r="39" ht="24" customHeight="1">
      <x:c r="A39" s="2"/>
      <x:c r="B39" s="2"/>
      <x:c r="C39" s="2"/>
      <x:c r="D39" s="2"/>
      <x:c r="E39" s="2"/>
      <x:c r="F39" s="2"/>
      <x:c r="G39" s="2"/>
      <x:c r="H39" s="2"/>
    </x:row>
    <x:row r="40" ht="24" customHeight="1">
      <x:c r="A40" s="2"/>
      <x:c r="B40" s="2"/>
      <x:c r="C40" s="2"/>
      <x:c r="D40" s="2"/>
      <x:c r="E40" s="2"/>
      <x:c r="F40" s="2"/>
      <x:c r="G40" s="2"/>
      <x:c r="H40" s="2"/>
    </x:row>
  </x:sheetData>
  <x:dataValidations count="3">
    <x:dataValidation type="list" sqref="B12">
      <x:formula1>"Yes,No"</x:formula1>
    </x:dataValidation>
    <x:dataValidation type="whole" operator="between" sqref="B6">
      <x:formula1>2000</x:formula1>
      <x:formula2>2100</x:formula2>
    </x:dataValidation>
    <x:dataValidation type="list" sqref="B35">
      <x:formula1>"Not requested,Not submitted,Prepared,Approved,Submitted,Retrospective example"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15" hidden="0" customWidth="1"/>
    <x:col min="2" max="2" width="13" hidden="0" customWidth="1"/>
    <x:col min="3" max="3" width="60" hidden="0" customWidth="1"/>
    <x:col min="4" max="4" width="16" hidden="0" customWidth="1"/>
    <x:col min="5" max="5" width="76" hidden="0" customWidth="1"/>
    <x:col min="6" max="6" width="26" hidden="0" customWidth="1"/>
    <x:col min="7" max="7" width="56" hidden="0" customWidth="1"/>
    <x:col min="8" max="8" width="14" hidden="0" customWidth="1"/>
    <x:col min="9" max="9" width="36" hidden="0" customWidth="1"/>
    <x:col min="10" max="10" width="10" hidden="0" customWidth="1"/>
    <x:col min="11" max="11" width="20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24" customHeight="1">
      <x:c r="A2" s="3" t="str">
        <x:v>Requirement assessments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</x:row>
    <x:row r="3" ht="24" customHeight="1">
      <x:c r="A3" s="4" t="str">
        <x:v>Policy reference: State of Western Australia, Department of the Premier and Cabinet. Assessment prompts and rating scale: WACC.</x:v>
      </x:c>
      <x:c r="B3" s="4"/>
      <x:c r="C3" s="4"/>
      <x:c r="D3" s="4"/>
      <x:c r="E3" s="4"/>
      <x:c r="F3" s="4"/>
      <x:c r="G3" s="4"/>
      <x:c r="H3" s="4"/>
      <x:c r="I3" s="4"/>
      <x:c r="J3" s="4"/>
      <x:c r="K3" s="4"/>
    </x:row>
    <x:row r="4" ht="24" customHeight="1">
      <x:c r="A4" s="4" t="str">
        <x:v>Source: https://www.wa.gov.au/system/files/2024-12/wacybersecuritypolicy.pdf</x:v>
      </x:c>
      <x:c r="B4" s="4"/>
      <x:c r="C4" s="4"/>
      <x:c r="D4" s="4"/>
      <x:c r="E4" s="4"/>
      <x:c r="F4" s="4"/>
      <x:c r="G4" s="4"/>
      <x:c r="H4" s="4"/>
      <x:c r="I4" s="4"/>
      <x:c r="J4" s="4"/>
      <x:c r="K4" s="4"/>
    </x:row>
    <x:row r="5" ht="24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</x:row>
    <x:row r="6" ht="30" customHeight="1">
      <x:c r="A6" s="12" t="str">
        <x:v>Requirement ID</x:v>
      </x:c>
      <x:c r="B6" s="12" t="str">
        <x:v>Area</x:v>
      </x:c>
      <x:c r="C6" s="12" t="str">
        <x:v>Assessment prompt</x:v>
      </x:c>
      <x:c r="D6" s="12" t="str">
        <x:v>Rating</x:v>
      </x:c>
      <x:c r="E6" s="12" t="str">
        <x:v>Evidence</x:v>
      </x:c>
      <x:c r="F6" s="12" t="str">
        <x:v>Owner</x:v>
      </x:c>
      <x:c r="G6" s="12" t="str">
        <x:v>Next action</x:v>
      </x:c>
      <x:c r="H6" s="12" t="str">
        <x:v>Due date</x:v>
      </x:c>
      <x:c r="I6" s="12" t="str">
        <x:v>Exclusion reason</x:v>
      </x:c>
      <x:c r="J6" s="12" t="str">
        <x:v>Score</x:v>
      </x:c>
      <x:c r="K6" s="12" t="str">
        <x:v>Policy reference</x:v>
      </x:c>
    </x:row>
    <x:row r="7" ht="60" customHeight="1">
      <x:c r="A7" s="7" t="str">
        <x:v>1.1a</x:v>
      </x:c>
      <x:c r="B7" s="7" t="str">
        <x:v>Govern</x:v>
      </x:c>
      <x:c r="C7" s="7" t="str">
        <x:v>Manage cyber risk through the accountable authority.</x:v>
      </x:c>
      <x:c r="D7" s="6" t="str">
        <x:v>Not assessed</x:v>
      </x:c>
      <x:c r="E7" s="6" t="str"/>
      <x:c r="F7" s="6" t="str"/>
      <x:c r="G7" s="6" t="str"/>
      <x:c r="H7" s="8"/>
      <x:c r="I7" s="6" t="str"/>
      <x:c r="J7" s="9" t="str">
        <x:f>IF(OR(D7="",D7="Not assessed",D7="N/A"),"",IFERROR(VALUE(D7),"Invalid rating"))</x:f>
      </x:c>
      <x:c r="K7" s="7" t="str">
        <x:v>wa-csp:1.1a</x:v>
      </x:c>
    </x:row>
    <x:row r="8" ht="60" customHeight="1">
      <x:c r="A8" s="7" t="str">
        <x:v>1.1b</x:v>
      </x:c>
      <x:c r="B8" s="7" t="str">
        <x:v>Govern</x:v>
      </x:c>
      <x:c r="C8" s="7" t="str">
        <x:v>Assign executive responsibility for cyber security.</x:v>
      </x:c>
      <x:c r="D8" s="6" t="str">
        <x:v>Not assessed</x:v>
      </x:c>
      <x:c r="E8" s="6" t="str"/>
      <x:c r="F8" s="6" t="str"/>
      <x:c r="G8" s="6" t="str"/>
      <x:c r="H8" s="8"/>
      <x:c r="I8" s="6" t="str"/>
      <x:c r="J8" s="9" t="str">
        <x:f>IF(OR(D8="",D8="Not assessed",D8="N/A"),"",IFERROR(VALUE(D8),"Invalid rating"))</x:f>
      </x:c>
      <x:c r="K8" s="7" t="str">
        <x:v>wa-csp:1.1b</x:v>
      </x:c>
    </x:row>
    <x:row r="9" ht="60" customHeight="1">
      <x:c r="A9" s="7" t="str">
        <x:v>1.1c</x:v>
      </x:c>
      <x:c r="B9" s="7" t="str">
        <x:v>Govern</x:v>
      </x:c>
      <x:c r="C9" s="7" t="str">
        <x:v>Consider risks to other WA entities and share relevant risks with DGov.</x:v>
      </x:c>
      <x:c r="D9" s="6" t="str">
        <x:v>Not assessed</x:v>
      </x:c>
      <x:c r="E9" s="6" t="str"/>
      <x:c r="F9" s="6" t="str"/>
      <x:c r="G9" s="6" t="str"/>
      <x:c r="H9" s="8"/>
      <x:c r="I9" s="6" t="str"/>
      <x:c r="J9" s="9" t="str">
        <x:f>IF(OR(D9="",D9="Not assessed",D9="N/A"),"",IFERROR(VALUE(D9),"Invalid rating"))</x:f>
      </x:c>
      <x:c r="K9" s="7" t="str">
        <x:v>wa-csp:1.1c</x:v>
      </x:c>
    </x:row>
    <x:row r="10" ht="60" customHeight="1">
      <x:c r="A10" s="7" t="str">
        <x:v>1.1d</x:v>
      </x:c>
      <x:c r="B10" s="7" t="str">
        <x:v>Govern</x:v>
      </x:c>
      <x:c r="C10" s="7" t="str">
        <x:v>Fund and resource continuing policy implementation.</x:v>
      </x:c>
      <x:c r="D10" s="6" t="str">
        <x:v>Not assessed</x:v>
      </x:c>
      <x:c r="E10" s="6" t="str"/>
      <x:c r="F10" s="6" t="str"/>
      <x:c r="G10" s="6" t="str"/>
      <x:c r="H10" s="8"/>
      <x:c r="I10" s="6" t="str"/>
      <x:c r="J10" s="9" t="str">
        <x:f>IF(OR(D10="",D10="Not assessed",D10="N/A"),"",IFERROR(VALUE(D10),"Invalid rating"))</x:f>
      </x:c>
      <x:c r="K10" s="7" t="str">
        <x:v>wa-csp:1.1d</x:v>
      </x:c>
    </x:row>
    <x:row r="11" ht="60" customHeight="1">
      <x:c r="A11" s="7" t="str">
        <x:v>1.2a</x:v>
      </x:c>
      <x:c r="B11" s="7" t="str">
        <x:v>Govern</x:v>
      </x:c>
      <x:c r="C11" s="7" t="str">
        <x:v>Give the cyber security executive authority to implement the policy.</x:v>
      </x:c>
      <x:c r="D11" s="6" t="str">
        <x:v>Not assessed</x:v>
      </x:c>
      <x:c r="E11" s="6" t="str"/>
      <x:c r="F11" s="6" t="str"/>
      <x:c r="G11" s="6" t="str"/>
      <x:c r="H11" s="8"/>
      <x:c r="I11" s="6" t="str"/>
      <x:c r="J11" s="9" t="str">
        <x:f>IF(OR(D11="",D11="Not assessed",D11="N/A"),"",IFERROR(VALUE(D11),"Invalid rating"))</x:f>
      </x:c>
      <x:c r="K11" s="7" t="str">
        <x:v>wa-csp:1.2a</x:v>
      </x:c>
    </x:row>
    <x:row r="12" ht="60" customHeight="1">
      <x:c r="A12" s="7" t="str">
        <x:v>1.2b</x:v>
      </x:c>
      <x:c r="B12" s="7" t="str">
        <x:v>Govern</x:v>
      </x:c>
      <x:c r="C12" s="7" t="str">
        <x:v>Provide the executive with the skills and resources needed.</x:v>
      </x:c>
      <x:c r="D12" s="6" t="str">
        <x:v>Not assessed</x:v>
      </x:c>
      <x:c r="E12" s="6" t="str"/>
      <x:c r="F12" s="6" t="str"/>
      <x:c r="G12" s="6" t="str"/>
      <x:c r="H12" s="8"/>
      <x:c r="I12" s="6" t="str"/>
      <x:c r="J12" s="9" t="str">
        <x:f>IF(OR(D12="",D12="Not assessed",D12="N/A"),"",IFERROR(VALUE(D12),"Invalid rating"))</x:f>
      </x:c>
      <x:c r="K12" s="7" t="str">
        <x:v>wa-csp:1.2b</x:v>
      </x:c>
    </x:row>
    <x:row r="13" ht="60" customHeight="1">
      <x:c r="A13" s="7" t="str">
        <x:v>1.2c</x:v>
      </x:c>
      <x:c r="B13" s="7" t="str">
        <x:v>Govern</x:v>
      </x:c>
      <x:c r="C13" s="7" t="str">
        <x:v>Report implementation progress to the accountable authority.</x:v>
      </x:c>
      <x:c r="D13" s="6" t="str">
        <x:v>Not assessed</x:v>
      </x:c>
      <x:c r="E13" s="6" t="str"/>
      <x:c r="F13" s="6" t="str"/>
      <x:c r="G13" s="6" t="str"/>
      <x:c r="H13" s="8"/>
      <x:c r="I13" s="6" t="str"/>
      <x:c r="J13" s="9" t="str">
        <x:f>IF(OR(D13="",D13="Not assessed",D13="N/A"),"",IFERROR(VALUE(D13),"Invalid rating"))</x:f>
      </x:c>
      <x:c r="K13" s="7" t="str">
        <x:v>wa-csp:1.2c</x:v>
      </x:c>
    </x:row>
    <x:row r="14" ht="60" customHeight="1">
      <x:c r="A14" s="7" t="str">
        <x:v>1.2d</x:v>
      </x:c>
      <x:c r="B14" s="7" t="str">
        <x:v>Govern</x:v>
      </x:c>
      <x:c r="C14" s="7" t="str">
        <x:v>Notify DGov of a changed cyber security executive within five days.</x:v>
      </x:c>
      <x:c r="D14" s="6" t="str">
        <x:v>Not assessed</x:v>
      </x:c>
      <x:c r="E14" s="6" t="str"/>
      <x:c r="F14" s="6" t="str"/>
      <x:c r="G14" s="6" t="str"/>
      <x:c r="H14" s="8"/>
      <x:c r="I14" s="6" t="str"/>
      <x:c r="J14" s="9" t="str">
        <x:f>IF(OR(D14="",D14="Not assessed",D14="N/A"),"",IFERROR(VALUE(D14),"Invalid rating"))</x:f>
      </x:c>
      <x:c r="K14" s="7" t="str">
        <x:v>wa-csp:1.2d</x:v>
      </x:c>
    </x:row>
    <x:row r="15" ht="60" customHeight="1">
      <x:c r="A15" s="7" t="str">
        <x:v>1.3</x:v>
      </x:c>
      <x:c r="B15" s="7" t="str">
        <x:v>Govern</x:v>
      </x:c>
      <x:c r="C15" s="7" t="str">
        <x:v>Maintain enough skilled people to operate cyber security.</x:v>
      </x:c>
      <x:c r="D15" s="6" t="str">
        <x:v>Not assessed</x:v>
      </x:c>
      <x:c r="E15" s="6" t="str"/>
      <x:c r="F15" s="6" t="str"/>
      <x:c r="G15" s="6" t="str"/>
      <x:c r="H15" s="8"/>
      <x:c r="I15" s="6" t="str"/>
      <x:c r="J15" s="9" t="str">
        <x:f>IF(OR(D15="",D15="Not assessed",D15="N/A"),"",IFERROR(VALUE(D15),"Invalid rating"))</x:f>
      </x:c>
      <x:c r="K15" s="7" t="str">
        <x:v>wa-csp:1.3</x:v>
      </x:c>
    </x:row>
    <x:row r="16" ht="60" customHeight="1">
      <x:c r="A16" s="7" t="str">
        <x:v>1.4a</x:v>
      </x:c>
      <x:c r="B16" s="7" t="str">
        <x:v>Govern</x:v>
      </x:c>
      <x:c r="C16" s="7" t="str">
        <x:v>Align security governance with the department's objectives.</x:v>
      </x:c>
      <x:c r="D16" s="6" t="str">
        <x:v>Not assessed</x:v>
      </x:c>
      <x:c r="E16" s="6" t="str"/>
      <x:c r="F16" s="6" t="str"/>
      <x:c r="G16" s="6" t="str"/>
      <x:c r="H16" s="8"/>
      <x:c r="I16" s="6" t="str"/>
      <x:c r="J16" s="9" t="str">
        <x:f>IF(OR(D16="",D16="Not assessed",D16="N/A"),"",IFERROR(VALUE(D16),"Invalid rating"))</x:f>
      </x:c>
      <x:c r="K16" s="7" t="str">
        <x:v>wa-csp:1.4a</x:v>
      </x:c>
    </x:row>
    <x:row r="17" ht="60" customHeight="1">
      <x:c r="A17" s="7" t="str">
        <x:v>1.4b</x:v>
      </x:c>
      <x:c r="B17" s="7" t="str">
        <x:v>Govern</x:v>
      </x:c>
      <x:c r="C17" s="7" t="str">
        <x:v>Make cyber risks visible to decision makers.</x:v>
      </x:c>
      <x:c r="D17" s="6" t="str">
        <x:v>Not assessed</x:v>
      </x:c>
      <x:c r="E17" s="6" t="str"/>
      <x:c r="F17" s="6" t="str"/>
      <x:c r="G17" s="6" t="str"/>
      <x:c r="H17" s="8"/>
      <x:c r="I17" s="6" t="str"/>
      <x:c r="J17" s="9" t="str">
        <x:f>IF(OR(D17="",D17="Not assessed",D17="N/A"),"",IFERROR(VALUE(D17),"Invalid rating"))</x:f>
      </x:c>
      <x:c r="K17" s="7" t="str">
        <x:v>wa-csp:1.4b</x:v>
      </x:c>
    </x:row>
    <x:row r="18" ht="60" customHeight="1">
      <x:c r="A18" s="7" t="str">
        <x:v>1.4c</x:v>
      </x:c>
      <x:c r="B18" s="7" t="str">
        <x:v>Govern</x:v>
      </x:c>
      <x:c r="C18" s="7" t="str">
        <x:v>Set security objectives and review current maturity.</x:v>
      </x:c>
      <x:c r="D18" s="6" t="str">
        <x:v>Not assessed</x:v>
      </x:c>
      <x:c r="E18" s="6" t="str"/>
      <x:c r="F18" s="6" t="str"/>
      <x:c r="G18" s="6" t="str"/>
      <x:c r="H18" s="8"/>
      <x:c r="I18" s="6" t="str"/>
      <x:c r="J18" s="9" t="str">
        <x:f>IF(OR(D18="",D18="Not assessed",D18="N/A"),"",IFERROR(VALUE(D18),"Invalid rating"))</x:f>
      </x:c>
      <x:c r="K18" s="7" t="str">
        <x:v>wa-csp:1.4c</x:v>
      </x:c>
    </x:row>
    <x:row r="19" ht="60" customHeight="1">
      <x:c r="A19" s="7" t="str">
        <x:v>1.4d</x:v>
      </x:c>
      <x:c r="B19" s="7" t="str">
        <x:v>Govern</x:v>
      </x:c>
      <x:c r="C19" s="7" t="str">
        <x:v>Oversee third-party security arrangements.</x:v>
      </x:c>
      <x:c r="D19" s="6" t="str">
        <x:v>Not assessed</x:v>
      </x:c>
      <x:c r="E19" s="6" t="str"/>
      <x:c r="F19" s="6" t="str"/>
      <x:c r="G19" s="6" t="str"/>
      <x:c r="H19" s="8"/>
      <x:c r="I19" s="6" t="str"/>
      <x:c r="J19" s="9" t="str">
        <x:f>IF(OR(D19="",D19="Not assessed",D19="N/A"),"",IFERROR(VALUE(D19),"Invalid rating"))</x:f>
      </x:c>
      <x:c r="K19" s="7" t="str">
        <x:v>wa-csp:1.4d</x:v>
      </x:c>
    </x:row>
    <x:row r="20" ht="60" customHeight="1">
      <x:c r="A20" s="7" t="str">
        <x:v>1.4e</x:v>
      </x:c>
      <x:c r="B20" s="7" t="str">
        <x:v>Govern</x:v>
      </x:c>
      <x:c r="C20" s="7" t="str">
        <x:v>Maintain plans for implementing the policy.</x:v>
      </x:c>
      <x:c r="D20" s="6" t="str">
        <x:v>Not assessed</x:v>
      </x:c>
      <x:c r="E20" s="6" t="str"/>
      <x:c r="F20" s="6" t="str"/>
      <x:c r="G20" s="6" t="str"/>
      <x:c r="H20" s="8"/>
      <x:c r="I20" s="6" t="str"/>
      <x:c r="J20" s="9" t="str">
        <x:f>IF(OR(D20="",D20="Not assessed",D20="N/A"),"",IFERROR(VALUE(D20),"Invalid rating"))</x:f>
      </x:c>
      <x:c r="K20" s="7" t="str">
        <x:v>wa-csp:1.4e</x:v>
      </x:c>
    </x:row>
    <x:row r="21" ht="60" customHeight="1">
      <x:c r="A21" s="7" t="str">
        <x:v>1.4f</x:v>
      </x:c>
      <x:c r="B21" s="7" t="str">
        <x:v>Govern</x:v>
      </x:c>
      <x:c r="C21" s="7" t="str">
        <x:v>Plan continuity, incident response and recovery.</x:v>
      </x:c>
      <x:c r="D21" s="6" t="str">
        <x:v>Not assessed</x:v>
      </x:c>
      <x:c r="E21" s="6" t="str"/>
      <x:c r="F21" s="6" t="str"/>
      <x:c r="G21" s="6" t="str"/>
      <x:c r="H21" s="8"/>
      <x:c r="I21" s="6" t="str"/>
      <x:c r="J21" s="9" t="str">
        <x:f>IF(OR(D21="",D21="Not assessed",D21="N/A"),"",IFERROR(VALUE(D21),"Invalid rating"))</x:f>
      </x:c>
      <x:c r="K21" s="7" t="str">
        <x:v>wa-csp:1.4f</x:v>
      </x:c>
    </x:row>
    <x:row r="22" ht="60" customHeight="1">
      <x:c r="A22" s="7" t="str">
        <x:v>1.4g</x:v>
      </x:c>
      <x:c r="B22" s="7" t="str">
        <x:v>Govern</x:v>
      </x:c>
      <x:c r="C22" s="7" t="str">
        <x:v>Obtain assurance that security controls work, including ACSC controls.</x:v>
      </x:c>
      <x:c r="D22" s="6" t="str">
        <x:v>Not assessed</x:v>
      </x:c>
      <x:c r="E22" s="6" t="str"/>
      <x:c r="F22" s="6" t="str"/>
      <x:c r="G22" s="6" t="str"/>
      <x:c r="H22" s="8"/>
      <x:c r="I22" s="6" t="str"/>
      <x:c r="J22" s="9" t="str">
        <x:f>IF(OR(D22="",D22="Not assessed",D22="N/A"),"",IFERROR(VALUE(D22),"Invalid rating"))</x:f>
      </x:c>
      <x:c r="K22" s="7" t="str">
        <x:v>wa-csp:1.4g</x:v>
      </x:c>
    </x:row>
    <x:row r="23" ht="60" customHeight="1">
      <x:c r="A23" s="7" t="str">
        <x:v>1.5a</x:v>
      </x:c>
      <x:c r="B23" s="7" t="str">
        <x:v>Govern</x:v>
      </x:c>
      <x:c r="C23" s="7" t="str">
        <x:v>Assess offshore data risks against WA offshoring guidance.</x:v>
      </x:c>
      <x:c r="D23" s="6" t="str">
        <x:v>Not assessed</x:v>
      </x:c>
      <x:c r="E23" s="6" t="str"/>
      <x:c r="F23" s="6" t="str"/>
      <x:c r="G23" s="6" t="str"/>
      <x:c r="H23" s="8"/>
      <x:c r="I23" s="6" t="str"/>
      <x:c r="J23" s="9" t="str">
        <x:f>IF(OR(D23="",D23="Not assessed",D23="N/A"),"",IFERROR(VALUE(D23),"Invalid rating"))</x:f>
      </x:c>
      <x:c r="K23" s="7" t="str">
        <x:v>wa-csp:1.5a</x:v>
      </x:c>
    </x:row>
    <x:row r="24" ht="60" customHeight="1">
      <x:c r="A24" s="7" t="str">
        <x:v>1.5b</x:v>
      </x:c>
      <x:c r="B24" s="7" t="str">
        <x:v>Govern</x:v>
      </x:c>
      <x:c r="C24" s="7" t="str">
        <x:v>Use WA public cloud risk assessment guidance for offshoring decisions.</x:v>
      </x:c>
      <x:c r="D24" s="6" t="str">
        <x:v>Not assessed</x:v>
      </x:c>
      <x:c r="E24" s="6" t="str"/>
      <x:c r="F24" s="6" t="str"/>
      <x:c r="G24" s="6" t="str"/>
      <x:c r="H24" s="8"/>
      <x:c r="I24" s="6" t="str"/>
      <x:c r="J24" s="9" t="str">
        <x:f>IF(OR(D24="",D24="Not assessed",D24="N/A"),"",IFERROR(VALUE(D24),"Invalid rating"))</x:f>
      </x:c>
      <x:c r="K24" s="7" t="str">
        <x:v>wa-csp:1.5b</x:v>
      </x:c>
    </x:row>
    <x:row r="25" ht="60" customHeight="1">
      <x:c r="A25" s="7" t="str">
        <x:v>1.5c</x:v>
      </x:c>
      <x:c r="B25" s="7" t="str">
        <x:v>Govern</x:v>
      </x:c>
      <x:c r="C25" s="7" t="str">
        <x:v>Apply WA information classification when assessing offshore data.</x:v>
      </x:c>
      <x:c r="D25" s="6" t="str">
        <x:v>Not assessed</x:v>
      </x:c>
      <x:c r="E25" s="6" t="str"/>
      <x:c r="F25" s="6" t="str"/>
      <x:c r="G25" s="6" t="str"/>
      <x:c r="H25" s="8"/>
      <x:c r="I25" s="6" t="str"/>
      <x:c r="J25" s="9" t="str">
        <x:f>IF(OR(D25="",D25="Not assessed",D25="N/A"),"",IFERROR(VALUE(D25),"Invalid rating"))</x:f>
      </x:c>
      <x:c r="K25" s="7" t="str">
        <x:v>wa-csp:1.5c</x:v>
      </x:c>
    </x:row>
    <x:row r="26" ht="60" customHeight="1">
      <x:c r="A26" s="7" t="str">
        <x:v>1.6</x:v>
      </x:c>
      <x:c r="B26" s="7" t="str">
        <x:v>Govern</x:v>
      </x:c>
      <x:c r="C26" s="7" t="str">
        <x:v>Oversee secure disposal of devices and storage media.</x:v>
      </x:c>
      <x:c r="D26" s="6" t="str">
        <x:v>Not assessed</x:v>
      </x:c>
      <x:c r="E26" s="6" t="str"/>
      <x:c r="F26" s="6" t="str"/>
      <x:c r="G26" s="6" t="str"/>
      <x:c r="H26" s="8"/>
      <x:c r="I26" s="6" t="str"/>
      <x:c r="J26" s="9" t="str">
        <x:f>IF(OR(D26="",D26="Not assessed",D26="N/A"),"",IFERROR(VALUE(D26),"Invalid rating"))</x:f>
      </x:c>
      <x:c r="K26" s="7" t="str">
        <x:v>wa-csp:1.6</x:v>
      </x:c>
    </x:row>
    <x:row r="27" ht="60" customHeight="1">
      <x:c r="A27" s="7" t="str">
        <x:v>1.7</x:v>
      </x:c>
      <x:c r="B27" s="7" t="str">
        <x:v>Govern</x:v>
      </x:c>
      <x:c r="C27" s="7" t="str">
        <x:v>Oversee timely identification and remediation of vulnerabilities.</x:v>
      </x:c>
      <x:c r="D27" s="6" t="str">
        <x:v>Not assessed</x:v>
      </x:c>
      <x:c r="E27" s="6" t="str"/>
      <x:c r="F27" s="6" t="str"/>
      <x:c r="G27" s="6" t="str"/>
      <x:c r="H27" s="8"/>
      <x:c r="I27" s="6" t="str"/>
      <x:c r="J27" s="9" t="str">
        <x:f>IF(OR(D27="",D27="Not assessed",D27="N/A"),"",IFERROR(VALUE(D27),"Invalid rating"))</x:f>
      </x:c>
      <x:c r="K27" s="7" t="str">
        <x:v>wa-csp:1.7</x:v>
      </x:c>
    </x:row>
    <x:row r="28" ht="60" customHeight="1">
      <x:c r="A28" s="7" t="str">
        <x:v>1.8</x:v>
      </x:c>
      <x:c r="B28" s="7" t="str">
        <x:v>Govern</x:v>
      </x:c>
      <x:c r="C28" s="7" t="str">
        <x:v>Operate a vulnerability disclosure program.</x:v>
      </x:c>
      <x:c r="D28" s="6" t="str">
        <x:v>Not assessed</x:v>
      </x:c>
      <x:c r="E28" s="6" t="str"/>
      <x:c r="F28" s="6" t="str"/>
      <x:c r="G28" s="6" t="str"/>
      <x:c r="H28" s="8"/>
      <x:c r="I28" s="6" t="str"/>
      <x:c r="J28" s="9" t="str">
        <x:f>IF(OR(D28="",D28="Not assessed",D28="N/A"),"",IFERROR(VALUE(D28),"Invalid rating"))</x:f>
      </x:c>
      <x:c r="K28" s="7" t="str">
        <x:v>wa-csp:1.8</x:v>
      </x:c>
    </x:row>
    <x:row r="29" ht="60" customHeight="1">
      <x:c r="A29" s="7" t="str">
        <x:v>1.9a</x:v>
      </x:c>
      <x:c r="B29" s="7" t="str">
        <x:v>Govern</x:v>
      </x:c>
      <x:c r="C29" s="7" t="str">
        <x:v>Follow whole-of-government cyber directions or obtain an exemption.</x:v>
      </x:c>
      <x:c r="D29" s="6" t="str">
        <x:v>Not assessed</x:v>
      </x:c>
      <x:c r="E29" s="6" t="str"/>
      <x:c r="F29" s="6" t="str"/>
      <x:c r="G29" s="6" t="str"/>
      <x:c r="H29" s="8"/>
      <x:c r="I29" s="6" t="str"/>
      <x:c r="J29" s="9" t="str">
        <x:f>IF(OR(D29="",D29="Not assessed",D29="N/A"),"",IFERROR(VALUE(D29),"Invalid rating"))</x:f>
      </x:c>
      <x:c r="K29" s="7" t="str">
        <x:v>wa-csp:1.9a</x:v>
      </x:c>
    </x:row>
    <x:row r="30" ht="60" customHeight="1">
      <x:c r="A30" s="7" t="str">
        <x:v>1.9b</x:v>
      </x:c>
      <x:c r="B30" s="7" t="str">
        <x:v>Govern</x:v>
      </x:c>
      <x:c r="C30" s="7" t="str">
        <x:v>Consider DGov threat intelligence and advice.</x:v>
      </x:c>
      <x:c r="D30" s="6" t="str">
        <x:v>Not assessed</x:v>
      </x:c>
      <x:c r="E30" s="6" t="str"/>
      <x:c r="F30" s="6" t="str"/>
      <x:c r="G30" s="6" t="str"/>
      <x:c r="H30" s="8"/>
      <x:c r="I30" s="6" t="str"/>
      <x:c r="J30" s="9" t="str">
        <x:f>IF(OR(D30="",D30="Not assessed",D30="N/A"),"",IFERROR(VALUE(D30),"Invalid rating"))</x:f>
      </x:c>
      <x:c r="K30" s="7" t="str">
        <x:v>wa-csp:1.9b</x:v>
      </x:c>
    </x:row>
    <x:row r="31" ht="60" customHeight="1">
      <x:c r="A31" s="7" t="str">
        <x:v>2.1a</x:v>
      </x:c>
      <x:c r="B31" s="7" t="str">
        <x:v>Identify</x:v>
      </x:c>
      <x:c r="C31" s="7" t="str">
        <x:v>Record devices, servers and ICT equipment in the inventory.</x:v>
      </x:c>
      <x:c r="D31" s="6" t="str">
        <x:v>Not assessed</x:v>
      </x:c>
      <x:c r="E31" s="6" t="str"/>
      <x:c r="F31" s="6" t="str"/>
      <x:c r="G31" s="6" t="str"/>
      <x:c r="H31" s="8"/>
      <x:c r="I31" s="6" t="str"/>
      <x:c r="J31" s="9" t="str">
        <x:f>IF(OR(D31="",D31="Not assessed",D31="N/A"),"",IFERROR(VALUE(D31),"Invalid rating"))</x:f>
      </x:c>
      <x:c r="K31" s="7" t="str">
        <x:v>wa-csp:2.1a</x:v>
      </x:c>
    </x:row>
    <x:row r="32" ht="60" customHeight="1">
      <x:c r="A32" s="7" t="str">
        <x:v>2.1b</x:v>
      </x:c>
      <x:c r="B32" s="7" t="str">
        <x:v>Identify</x:v>
      </x:c>
      <x:c r="C32" s="7" t="str">
        <x:v>Record applications and their servers.</x:v>
      </x:c>
      <x:c r="D32" s="6" t="str">
        <x:v>Not assessed</x:v>
      </x:c>
      <x:c r="E32" s="6" t="str"/>
      <x:c r="F32" s="6" t="str"/>
      <x:c r="G32" s="6" t="str"/>
      <x:c r="H32" s="8"/>
      <x:c r="I32" s="6" t="str"/>
      <x:c r="J32" s="9" t="str">
        <x:f>IF(OR(D32="",D32="Not assessed",D32="N/A"),"",IFERROR(VALUE(D32),"Invalid rating"))</x:f>
      </x:c>
      <x:c r="K32" s="7" t="str">
        <x:v>wa-csp:2.1b</x:v>
      </x:c>
    </x:row>
    <x:row r="33" ht="60" customHeight="1">
      <x:c r="A33" s="7" t="str">
        <x:v>2.1c</x:v>
      </x:c>
      <x:c r="B33" s="7" t="str">
        <x:v>Identify</x:v>
      </x:c>
      <x:c r="C33" s="7" t="str">
        <x:v>Record critical databases and information assets.</x:v>
      </x:c>
      <x:c r="D33" s="6" t="str">
        <x:v>Not assessed</x:v>
      </x:c>
      <x:c r="E33" s="6" t="str"/>
      <x:c r="F33" s="6" t="str"/>
      <x:c r="G33" s="6" t="str"/>
      <x:c r="H33" s="8"/>
      <x:c r="I33" s="6" t="str"/>
      <x:c r="J33" s="9" t="str">
        <x:f>IF(OR(D33="",D33="Not assessed",D33="N/A"),"",IFERROR(VALUE(D33),"Invalid rating"))</x:f>
      </x:c>
      <x:c r="K33" s="7" t="str">
        <x:v>wa-csp:2.1c</x:v>
      </x:c>
    </x:row>
    <x:row r="34" ht="60" customHeight="1">
      <x:c r="A34" s="7" t="str">
        <x:v>2.1d</x:v>
      </x:c>
      <x:c r="B34" s="7" t="str">
        <x:v>Identify</x:v>
      </x:c>
      <x:c r="C34" s="7" t="str">
        <x:v>Record relevant staff and third-party providers.</x:v>
      </x:c>
      <x:c r="D34" s="6" t="str">
        <x:v>Not assessed</x:v>
      </x:c>
      <x:c r="E34" s="6" t="str"/>
      <x:c r="F34" s="6" t="str"/>
      <x:c r="G34" s="6" t="str"/>
      <x:c r="H34" s="8"/>
      <x:c r="I34" s="6" t="str"/>
      <x:c r="J34" s="9" t="str">
        <x:f>IF(OR(D34="",D34="Not assessed",D34="N/A"),"",IFERROR(VALUE(D34),"Invalid rating"))</x:f>
      </x:c>
      <x:c r="K34" s="7" t="str">
        <x:v>wa-csp:2.1d</x:v>
      </x:c>
    </x:row>
    <x:row r="35" ht="60" customHeight="1">
      <x:c r="A35" s="7" t="str">
        <x:v>2.1e</x:v>
      </x:c>
      <x:c r="B35" s="7" t="str">
        <x:v>Identify</x:v>
      </x:c>
      <x:c r="C35" s="7" t="str">
        <x:v>Record the department's social media applications.</x:v>
      </x:c>
      <x:c r="D35" s="6" t="str">
        <x:v>Not assessed</x:v>
      </x:c>
      <x:c r="E35" s="6" t="str"/>
      <x:c r="F35" s="6" t="str"/>
      <x:c r="G35" s="6" t="str"/>
      <x:c r="H35" s="8"/>
      <x:c r="I35" s="6" t="str"/>
      <x:c r="J35" s="9" t="str">
        <x:f>IF(OR(D35="",D35="Not assessed",D35="N/A"),"",IFERROR(VALUE(D35),"Invalid rating"))</x:f>
      </x:c>
      <x:c r="K35" s="7" t="str">
        <x:v>wa-csp:2.1e</x:v>
      </x:c>
    </x:row>
    <x:row r="36" ht="60" customHeight="1">
      <x:c r="A36" s="7" t="str">
        <x:v>2.1f</x:v>
      </x:c>
      <x:c r="B36" s="7" t="str">
        <x:v>Identify</x:v>
      </x:c>
      <x:c r="C36" s="7" t="str">
        <x:v>Record system dependencies and related risks.</x:v>
      </x:c>
      <x:c r="D36" s="6" t="str">
        <x:v>Not assessed</x:v>
      </x:c>
      <x:c r="E36" s="6" t="str"/>
      <x:c r="F36" s="6" t="str"/>
      <x:c r="G36" s="6" t="str"/>
      <x:c r="H36" s="8"/>
      <x:c r="I36" s="6" t="str"/>
      <x:c r="J36" s="9" t="str">
        <x:f>IF(OR(D36="",D36="Not assessed",D36="N/A"),"",IFERROR(VALUE(D36),"Invalid rating"))</x:f>
      </x:c>
      <x:c r="K36" s="7" t="str">
        <x:v>wa-csp:2.1f</x:v>
      </x:c>
    </x:row>
    <x:row r="37" ht="60" customHeight="1">
      <x:c r="A37" s="7" t="str">
        <x:v>2.1g</x:v>
      </x:c>
      <x:c r="B37" s="7" t="str">
        <x:v>Identify</x:v>
      </x:c>
      <x:c r="C37" s="7" t="str">
        <x:v>Record future cyber security needs.</x:v>
      </x:c>
      <x:c r="D37" s="6" t="str">
        <x:v>Not assessed</x:v>
      </x:c>
      <x:c r="E37" s="6" t="str"/>
      <x:c r="F37" s="6" t="str"/>
      <x:c r="G37" s="6" t="str"/>
      <x:c r="H37" s="8"/>
      <x:c r="I37" s="6" t="str"/>
      <x:c r="J37" s="9" t="str">
        <x:f>IF(OR(D37="",D37="Not assessed",D37="N/A"),"",IFERROR(VALUE(D37),"Invalid rating"))</x:f>
      </x:c>
      <x:c r="K37" s="7" t="str">
        <x:v>wa-csp:2.1g</x:v>
      </x:c>
    </x:row>
    <x:row r="38" ht="60" customHeight="1">
      <x:c r="A38" s="7" t="str">
        <x:v>2.1h</x:v>
      </x:c>
      <x:c r="B38" s="7" t="str">
        <x:v>Identify</x:v>
      </x:c>
      <x:c r="C38" s="7" t="str">
        <x:v>Record applicable legal and regulatory obligations.</x:v>
      </x:c>
      <x:c r="D38" s="6" t="str">
        <x:v>Not assessed</x:v>
      </x:c>
      <x:c r="E38" s="6" t="str"/>
      <x:c r="F38" s="6" t="str"/>
      <x:c r="G38" s="6" t="str"/>
      <x:c r="H38" s="8"/>
      <x:c r="I38" s="6" t="str"/>
      <x:c r="J38" s="9" t="str">
        <x:f>IF(OR(D38="",D38="Not assessed",D38="N/A"),"",IFERROR(VALUE(D38),"Invalid rating"))</x:f>
      </x:c>
      <x:c r="K38" s="7" t="str">
        <x:v>wa-csp:2.1h</x:v>
      </x:c>
    </x:row>
    <x:row r="39" ht="60" customHeight="1">
      <x:c r="A39" s="7" t="str">
        <x:v>2.2a</x:v>
      </x:c>
      <x:c r="B39" s="7" t="str">
        <x:v>Identify</x:v>
      </x:c>
      <x:c r="C39" s="7" t="str">
        <x:v>Assess cyber risk within the department's risk framework.</x:v>
      </x:c>
      <x:c r="D39" s="6" t="str">
        <x:v>Not assessed</x:v>
      </x:c>
      <x:c r="E39" s="6" t="str"/>
      <x:c r="F39" s="6" t="str"/>
      <x:c r="G39" s="6" t="str"/>
      <x:c r="H39" s="8"/>
      <x:c r="I39" s="6" t="str"/>
      <x:c r="J39" s="9" t="str">
        <x:f>IF(OR(D39="",D39="Not assessed",D39="N/A"),"",IFERROR(VALUE(D39),"Invalid rating"))</x:f>
      </x:c>
      <x:c r="K39" s="7" t="str">
        <x:v>wa-csp:2.2a</x:v>
      </x:c>
    </x:row>
    <x:row r="40" ht="60" customHeight="1">
      <x:c r="A40" s="7" t="str">
        <x:v>2.2b</x:v>
      </x:c>
      <x:c r="B40" s="7" t="str">
        <x:v>Identify</x:v>
      </x:c>
      <x:c r="C40" s="7" t="str">
        <x:v>Use the department's ICT and business context in risk assessments.</x:v>
      </x:c>
      <x:c r="D40" s="6" t="str">
        <x:v>Not assessed</x:v>
      </x:c>
      <x:c r="E40" s="6" t="str"/>
      <x:c r="F40" s="6" t="str"/>
      <x:c r="G40" s="6" t="str"/>
      <x:c r="H40" s="8"/>
      <x:c r="I40" s="6" t="str"/>
      <x:c r="J40" s="9" t="str">
        <x:f>IF(OR(D40="",D40="Not assessed",D40="N/A"),"",IFERROR(VALUE(D40),"Invalid rating"))</x:f>
      </x:c>
      <x:c r="K40" s="7" t="str">
        <x:v>wa-csp:2.2b</x:v>
      </x:c>
    </x:row>
    <x:row r="41" ht="60" customHeight="1">
      <x:c r="A41" s="7" t="str">
        <x:v>2.2c</x:v>
      </x:c>
      <x:c r="B41" s="7" t="str">
        <x:v>Identify</x:v>
      </x:c>
      <x:c r="C41" s="7" t="str">
        <x:v>Include known threats and vulnerabilities in risk assessments.</x:v>
      </x:c>
      <x:c r="D41" s="6" t="str">
        <x:v>Not assessed</x:v>
      </x:c>
      <x:c r="E41" s="6" t="str"/>
      <x:c r="F41" s="6" t="str"/>
      <x:c r="G41" s="6" t="str"/>
      <x:c r="H41" s="8"/>
      <x:c r="I41" s="6" t="str"/>
      <x:c r="J41" s="9" t="str">
        <x:f>IF(OR(D41="",D41="Not assessed",D41="N/A"),"",IFERROR(VALUE(D41),"Invalid rating"))</x:f>
      </x:c>
      <x:c r="K41" s="7" t="str">
        <x:v>wa-csp:2.2c</x:v>
      </x:c>
    </x:row>
    <x:row r="42" ht="60" customHeight="1">
      <x:c r="A42" s="7" t="str">
        <x:v>2.2d</x:v>
      </x:c>
      <x:c r="B42" s="7" t="str">
        <x:v>Identify</x:v>
      </x:c>
      <x:c r="C42" s="7" t="str">
        <x:v>Include critical information assets in risk assessments.</x:v>
      </x:c>
      <x:c r="D42" s="6" t="str">
        <x:v>Not assessed</x:v>
      </x:c>
      <x:c r="E42" s="6" t="str"/>
      <x:c r="F42" s="6" t="str"/>
      <x:c r="G42" s="6" t="str"/>
      <x:c r="H42" s="8"/>
      <x:c r="I42" s="6" t="str"/>
      <x:c r="J42" s="9" t="str">
        <x:f>IF(OR(D42="",D42="Not assessed",D42="N/A"),"",IFERROR(VALUE(D42),"Invalid rating"))</x:f>
      </x:c>
      <x:c r="K42" s="7" t="str">
        <x:v>wa-csp:2.2d</x:v>
      </x:c>
    </x:row>
    <x:row r="43" ht="60" customHeight="1">
      <x:c r="A43" s="7" t="str">
        <x:v>2.2e</x:v>
      </x:c>
      <x:c r="B43" s="7" t="str">
        <x:v>Identify</x:v>
      </x:c>
      <x:c r="C43" s="7" t="str">
        <x:v>Assess responsibilities shared with managed service providers.</x:v>
      </x:c>
      <x:c r="D43" s="6" t="str">
        <x:v>Not assessed</x:v>
      </x:c>
      <x:c r="E43" s="6" t="str"/>
      <x:c r="F43" s="6" t="str"/>
      <x:c r="G43" s="6" t="str"/>
      <x:c r="H43" s="8"/>
      <x:c r="I43" s="6" t="str"/>
      <x:c r="J43" s="9" t="str">
        <x:f>IF(OR(D43="",D43="Not assessed",D43="N/A"),"",IFERROR(VALUE(D43),"Invalid rating"))</x:f>
      </x:c>
      <x:c r="K43" s="7" t="str">
        <x:v>wa-csp:2.2e</x:v>
      </x:c>
    </x:row>
    <x:row r="44" ht="60" customHeight="1">
      <x:c r="A44" s="7" t="str">
        <x:v>2.2f</x:v>
      </x:c>
      <x:c r="B44" s="7" t="str">
        <x:v>Identify</x:v>
      </x:c>
      <x:c r="C44" s="7" t="str">
        <x:v>Assess procurement and supply chain risks; reassess when systems, threats or operations change.</x:v>
      </x:c>
      <x:c r="D44" s="6" t="str">
        <x:v>Not assessed</x:v>
      </x:c>
      <x:c r="E44" s="6" t="str"/>
      <x:c r="F44" s="6" t="str"/>
      <x:c r="G44" s="6" t="str"/>
      <x:c r="H44" s="8"/>
      <x:c r="I44" s="6" t="str"/>
      <x:c r="J44" s="9" t="str">
        <x:f>IF(OR(D44="",D44="Not assessed",D44="N/A"),"",IFERROR(VALUE(D44),"Invalid rating"))</x:f>
      </x:c>
      <x:c r="K44" s="7" t="str">
        <x:v>wa-csp:2.2f</x:v>
      </x:c>
    </x:row>
    <x:row r="45" ht="60" customHeight="1">
      <x:c r="A45" s="7" t="str">
        <x:v>3.1.1a</x:v>
      </x:c>
      <x:c r="B45" s="7" t="str">
        <x:v>Protect</x:v>
      </x:c>
      <x:c r="C45" s="7" t="str">
        <x:v>Meet Essential Eight Level One using the November 2022 model; progress to Level Two where appropriate.</x:v>
      </x:c>
      <x:c r="D45" s="6" t="str">
        <x:v>Not assessed</x:v>
      </x:c>
      <x:c r="E45" s="6" t="str"/>
      <x:c r="F45" s="6" t="str"/>
      <x:c r="G45" s="6" t="str"/>
      <x:c r="H45" s="8"/>
      <x:c r="I45" s="6" t="str"/>
      <x:c r="J45" s="9" t="str">
        <x:f>IF(OR(D45="",D45="Not assessed",D45="N/A"),"",IFERROR(VALUE(D45),"Invalid rating"))</x:f>
      </x:c>
      <x:c r="K45" s="7" t="str">
        <x:v>wa-csp:3.1.1a</x:v>
      </x:c>
    </x:row>
    <x:row r="46" ht="60" customHeight="1">
      <x:c r="A46" s="7" t="str">
        <x:v>3.1.1b</x:v>
      </x:c>
      <x:c r="B46" s="7" t="str">
        <x:v>Protect</x:v>
      </x:c>
      <x:c r="C46" s="7" t="str">
        <x:v>Use risk assessments to decide where higher Essential Eight maturity is needed.</x:v>
      </x:c>
      <x:c r="D46" s="6" t="str">
        <x:v>Not assessed</x:v>
      </x:c>
      <x:c r="E46" s="6" t="str"/>
      <x:c r="F46" s="6" t="str"/>
      <x:c r="G46" s="6" t="str"/>
      <x:c r="H46" s="8"/>
      <x:c r="I46" s="6" t="str"/>
      <x:c r="J46" s="9" t="str">
        <x:f>IF(OR(D46="",D46="Not assessed",D46="N/A"),"",IFERROR(VALUE(D46),"Invalid rating"))</x:f>
      </x:c>
      <x:c r="K46" s="7" t="str">
        <x:v>wa-csp:3.1.1b</x:v>
      </x:c>
    </x:row>
    <x:row r="47" ht="60" customHeight="1">
      <x:c r="A47" s="7" t="str">
        <x:v>3.1.2</x:v>
      </x:c>
      <x:c r="B47" s="7" t="str">
        <x:v>Protect</x:v>
      </x:c>
      <x:c r="C47" s="7" t="str">
        <x:v>Implement the Further Five, or document a risk-based decision for exclusions.</x:v>
      </x:c>
      <x:c r="D47" s="6" t="str">
        <x:v>Not assessed</x:v>
      </x:c>
      <x:c r="E47" s="6" t="str"/>
      <x:c r="F47" s="6" t="str"/>
      <x:c r="G47" s="6" t="str"/>
      <x:c r="H47" s="8"/>
      <x:c r="I47" s="6" t="str"/>
      <x:c r="J47" s="9" t="str">
        <x:f>IF(OR(D47="",D47="Not assessed",D47="N/A"),"",IFERROR(VALUE(D47),"Invalid rating"))</x:f>
      </x:c>
      <x:c r="K47" s="7" t="str">
        <x:v>wa-csp:3.1.2</x:v>
      </x:c>
    </x:row>
    <x:row r="48" ht="60" customHeight="1">
      <x:c r="A48" s="7" t="str">
        <x:v>3.1.3a</x:v>
      </x:c>
      <x:c r="B48" s="7" t="str">
        <x:v>Protect</x:v>
      </x:c>
      <x:c r="C48" s="7" t="str">
        <x:v>Decide which remaining ACSC strategies are needed to manage risk.</x:v>
      </x:c>
      <x:c r="D48" s="6" t="str">
        <x:v>Not assessed</x:v>
      </x:c>
      <x:c r="E48" s="6" t="str"/>
      <x:c r="F48" s="6" t="str"/>
      <x:c r="G48" s="6" t="str"/>
      <x:c r="H48" s="8"/>
      <x:c r="I48" s="6" t="str"/>
      <x:c r="J48" s="9" t="str">
        <x:f>IF(OR(D48="",D48="Not assessed",D48="N/A"),"",IFERROR(VALUE(D48),"Invalid rating"))</x:f>
      </x:c>
      <x:c r="K48" s="7" t="str">
        <x:v>wa-csp:3.1.3a</x:v>
      </x:c>
    </x:row>
    <x:row r="49" ht="60" customHeight="1">
      <x:c r="A49" s="7" t="str">
        <x:v>3.1.3b</x:v>
      </x:c>
      <x:c r="B49" s="7" t="str">
        <x:v>Protect</x:v>
      </x:c>
      <x:c r="C49" s="7" t="str">
        <x:v>Decide which other controls are needed, including for operational technology.</x:v>
      </x:c>
      <x:c r="D49" s="6" t="str">
        <x:v>Not assessed</x:v>
      </x:c>
      <x:c r="E49" s="6" t="str"/>
      <x:c r="F49" s="6" t="str"/>
      <x:c r="G49" s="6" t="str"/>
      <x:c r="H49" s="8"/>
      <x:c r="I49" s="6" t="str"/>
      <x:c r="J49" s="9" t="str">
        <x:f>IF(OR(D49="",D49="Not assessed",D49="N/A"),"",IFERROR(VALUE(D49),"Invalid rating"))</x:f>
      </x:c>
      <x:c r="K49" s="7" t="str">
        <x:v>wa-csp:3.1.3b</x:v>
      </x:c>
    </x:row>
    <x:row r="50" ht="60" customHeight="1">
      <x:c r="A50" s="7" t="str">
        <x:v>3.2a</x:v>
      </x:c>
      <x:c r="B50" s="7" t="str">
        <x:v>Protect</x:v>
      </x:c>
      <x:c r="C50" s="7" t="str">
        <x:v>Deliver cyber awareness training each year.</x:v>
      </x:c>
      <x:c r="D50" s="6" t="str">
        <x:v>Not assessed</x:v>
      </x:c>
      <x:c r="E50" s="6" t="str"/>
      <x:c r="F50" s="6" t="str"/>
      <x:c r="G50" s="6" t="str"/>
      <x:c r="H50" s="8"/>
      <x:c r="I50" s="6" t="str"/>
      <x:c r="J50" s="9" t="str">
        <x:f>IF(OR(D50="",D50="Not assessed",D50="N/A"),"",IFERROR(VALUE(D50),"Invalid rating"))</x:f>
      </x:c>
      <x:c r="K50" s="7" t="str">
        <x:v>wa-csp:3.2a</x:v>
      </x:c>
    </x:row>
    <x:row r="51" ht="60" customHeight="1">
      <x:c r="A51" s="7" t="str">
        <x:v>3.2b</x:v>
      </x:c>
      <x:c r="B51" s="7" t="str">
        <x:v>Protect</x:v>
      </x:c>
      <x:c r="C51" s="7" t="str">
        <x:v>Deliver tailored training for specialist and sensitive roles.</x:v>
      </x:c>
      <x:c r="D51" s="6" t="str">
        <x:v>Not assessed</x:v>
      </x:c>
      <x:c r="E51" s="6" t="str"/>
      <x:c r="F51" s="6" t="str"/>
      <x:c r="G51" s="6" t="str"/>
      <x:c r="H51" s="8"/>
      <x:c r="I51" s="6" t="str"/>
      <x:c r="J51" s="9" t="str">
        <x:f>IF(OR(D51="",D51="Not assessed",D51="N/A"),"",IFERROR(VALUE(D51),"Invalid rating"))</x:f>
      </x:c>
      <x:c r="K51" s="7" t="str">
        <x:v>wa-csp:3.2b</x:v>
      </x:c>
    </x:row>
    <x:row r="52" ht="60" customHeight="1">
      <x:c r="A52" s="7" t="str">
        <x:v>3.3</x:v>
      </x:c>
      <x:c r="B52" s="7" t="str">
        <x:v>Protect</x:v>
      </x:c>
      <x:c r="C52" s="7" t="str">
        <x:v>Manage and monitor corporate and BYO mobile devices, harden their apps and address overseas travel risks.</x:v>
      </x:c>
      <x:c r="D52" s="6" t="str">
        <x:v>Not assessed</x:v>
      </x:c>
      <x:c r="E52" s="6" t="str"/>
      <x:c r="F52" s="6" t="str"/>
      <x:c r="G52" s="6" t="str"/>
      <x:c r="H52" s="8"/>
      <x:c r="I52" s="6" t="str"/>
      <x:c r="J52" s="9" t="str">
        <x:f>IF(OR(D52="",D52="Not assessed",D52="N/A"),"",IFERROR(VALUE(D52),"Invalid rating"))</x:f>
      </x:c>
      <x:c r="K52" s="7" t="str">
        <x:v>wa-csp:3.3</x:v>
      </x:c>
    </x:row>
    <x:row r="53" ht="60" customHeight="1">
      <x:c r="A53" s="7" t="str">
        <x:v>3.4</x:v>
      </x:c>
      <x:c r="B53" s="7" t="str">
        <x:v>Protect</x:v>
      </x:c>
      <x:c r="C53" s="7" t="str">
        <x:v>Consider information security in new procurement and renegotiable contract extensions.</x:v>
      </x:c>
      <x:c r="D53" s="6" t="str">
        <x:v>Not assessed</x:v>
      </x:c>
      <x:c r="E53" s="6" t="str"/>
      <x:c r="F53" s="6" t="str"/>
      <x:c r="G53" s="6" t="str"/>
      <x:c r="H53" s="8"/>
      <x:c r="I53" s="6" t="str"/>
      <x:c r="J53" s="9" t="str">
        <x:f>IF(OR(D53="",D53="Not assessed",D53="N/A"),"",IFERROR(VALUE(D53),"Invalid rating"))</x:f>
      </x:c>
      <x:c r="K53" s="7" t="str">
        <x:v>wa-csp:3.4</x:v>
      </x:c>
    </x:row>
    <x:row r="54" ht="60" customHeight="1">
      <x:c r="A54" s="7" t="str">
        <x:v>3.4.1a</x:v>
      </x:c>
      <x:c r="B54" s="7" t="str">
        <x:v>Protect</x:v>
      </x:c>
      <x:c r="C54" s="7" t="str">
        <x:v>Assess procurement risks to confidentiality, integrity and availability, including information sensitivity.</x:v>
      </x:c>
      <x:c r="D54" s="6" t="str">
        <x:v>Not assessed</x:v>
      </x:c>
      <x:c r="E54" s="6" t="str"/>
      <x:c r="F54" s="6" t="str"/>
      <x:c r="G54" s="6" t="str"/>
      <x:c r="H54" s="8"/>
      <x:c r="I54" s="6" t="str"/>
      <x:c r="J54" s="9" t="str">
        <x:f>IF(OR(D54="",D54="Not assessed",D54="N/A"),"",IFERROR(VALUE(D54),"Invalid rating"))</x:f>
      </x:c>
      <x:c r="K54" s="7" t="str">
        <x:v>wa-csp:3.4.1a</x:v>
      </x:c>
    </x:row>
    <x:row r="55" ht="60" customHeight="1">
      <x:c r="A55" s="7" t="str">
        <x:v>3.4.1b</x:v>
      </x:c>
      <x:c r="B55" s="7" t="str">
        <x:v>Protect</x:v>
      </x:c>
      <x:c r="C55" s="7" t="str">
        <x:v>Check suppliers' security maturity and relevant independent assessments.</x:v>
      </x:c>
      <x:c r="D55" s="6" t="str">
        <x:v>Not assessed</x:v>
      </x:c>
      <x:c r="E55" s="6" t="str"/>
      <x:c r="F55" s="6" t="str"/>
      <x:c r="G55" s="6" t="str"/>
      <x:c r="H55" s="8"/>
      <x:c r="I55" s="6" t="str"/>
      <x:c r="J55" s="9" t="str">
        <x:f>IF(OR(D55="",D55="Not assessed",D55="N/A"),"",IFERROR(VALUE(D55),"Invalid rating"))</x:f>
      </x:c>
      <x:c r="K55" s="7" t="str">
        <x:v>wa-csp:3.4.1b</x:v>
      </x:c>
    </x:row>
    <x:row r="56" ht="60" customHeight="1">
      <x:c r="A56" s="7" t="str">
        <x:v>3.4.1c</x:v>
      </x:c>
      <x:c r="B56" s="7" t="str">
        <x:v>Protect</x:v>
      </x:c>
      <x:c r="C56" s="7" t="str">
        <x:v>Assess security risks in the supply chain.</x:v>
      </x:c>
      <x:c r="D56" s="6" t="str">
        <x:v>Not assessed</x:v>
      </x:c>
      <x:c r="E56" s="6" t="str"/>
      <x:c r="F56" s="6" t="str"/>
      <x:c r="G56" s="6" t="str"/>
      <x:c r="H56" s="8"/>
      <x:c r="I56" s="6" t="str"/>
      <x:c r="J56" s="9" t="str">
        <x:f>IF(OR(D56="",D56="Not assessed",D56="N/A"),"",IFERROR(VALUE(D56),"Invalid rating"))</x:f>
      </x:c>
      <x:c r="K56" s="7" t="str">
        <x:v>wa-csp:3.4.1c</x:v>
      </x:c>
    </x:row>
    <x:row r="57" ht="60" customHeight="1">
      <x:c r="A57" s="7" t="str">
        <x:v>3.4.1d</x:v>
      </x:c>
      <x:c r="B57" s="7" t="str">
        <x:v>Protect</x:v>
      </x:c>
      <x:c r="C57" s="7" t="str">
        <x:v>Assess security in software procurement, development and integration.</x:v>
      </x:c>
      <x:c r="D57" s="6" t="str">
        <x:v>Not assessed</x:v>
      </x:c>
      <x:c r="E57" s="6" t="str"/>
      <x:c r="F57" s="6" t="str"/>
      <x:c r="G57" s="6" t="str"/>
      <x:c r="H57" s="8"/>
      <x:c r="I57" s="6" t="str"/>
      <x:c r="J57" s="9" t="str">
        <x:f>IF(OR(D57="",D57="Not assessed",D57="N/A"),"",IFERROR(VALUE(D57),"Invalid rating"))</x:f>
      </x:c>
      <x:c r="K57" s="7" t="str">
        <x:v>wa-csp:3.4.1d</x:v>
      </x:c>
    </x:row>
    <x:row r="58" ht="60" customHeight="1">
      <x:c r="A58" s="7" t="str">
        <x:v>3.4.1e</x:v>
      </x:c>
      <x:c r="B58" s="7" t="str">
        <x:v>Protect</x:v>
      </x:c>
      <x:c r="C58" s="7" t="str">
        <x:v>Prefer independently assessed offerings, such as IRAP, for high-risk managed and cloud services.</x:v>
      </x:c>
      <x:c r="D58" s="6" t="str">
        <x:v>Not assessed</x:v>
      </x:c>
      <x:c r="E58" s="6" t="str"/>
      <x:c r="F58" s="6" t="str"/>
      <x:c r="G58" s="6" t="str"/>
      <x:c r="H58" s="8"/>
      <x:c r="I58" s="6" t="str"/>
      <x:c r="J58" s="9" t="str">
        <x:f>IF(OR(D58="",D58="Not assessed",D58="N/A"),"",IFERROR(VALUE(D58),"Invalid rating"))</x:f>
      </x:c>
      <x:c r="K58" s="7" t="str">
        <x:v>wa-csp:3.4.1e</x:v>
      </x:c>
    </x:row>
    <x:row r="59" ht="60" customHeight="1">
      <x:c r="A59" s="7" t="str">
        <x:v>3.4.1f</x:v>
      </x:c>
      <x:c r="B59" s="7" t="str">
        <x:v>Protect</x:v>
      </x:c>
      <x:c r="C59" s="7" t="str">
        <x:v>Document which security responsibilities belong to the supplier and the department.</x:v>
      </x:c>
      <x:c r="D59" s="6" t="str">
        <x:v>Not assessed</x:v>
      </x:c>
      <x:c r="E59" s="6" t="str"/>
      <x:c r="F59" s="6" t="str"/>
      <x:c r="G59" s="6" t="str"/>
      <x:c r="H59" s="8"/>
      <x:c r="I59" s="6" t="str"/>
      <x:c r="J59" s="9" t="str">
        <x:f>IF(OR(D59="",D59="Not assessed",D59="N/A"),"",IFERROR(VALUE(D59),"Invalid rating"))</x:f>
      </x:c>
      <x:c r="K59" s="7" t="str">
        <x:v>wa-csp:3.4.1f</x:v>
      </x:c>
    </x:row>
    <x:row r="60" ht="60" customHeight="1">
      <x:c r="A60" s="7" t="str">
        <x:v>3.4.1g</x:v>
      </x:c>
      <x:c r="B60" s="7" t="str">
        <x:v>Protect</x:v>
      </x:c>
      <x:c r="C60" s="7" t="str">
        <x:v>Check supplier and subcontractor insurance against the risks.</x:v>
      </x:c>
      <x:c r="D60" s="6" t="str">
        <x:v>Not assessed</x:v>
      </x:c>
      <x:c r="E60" s="6" t="str"/>
      <x:c r="F60" s="6" t="str"/>
      <x:c r="G60" s="6" t="str"/>
      <x:c r="H60" s="8"/>
      <x:c r="I60" s="6" t="str"/>
      <x:c r="J60" s="9" t="str">
        <x:f>IF(OR(D60="",D60="Not assessed",D60="N/A"),"",IFERROR(VALUE(D60),"Invalid rating"))</x:f>
      </x:c>
      <x:c r="K60" s="7" t="str">
        <x:v>wa-csp:3.4.1g</x:v>
      </x:c>
    </x:row>
    <x:row r="61" ht="60" customHeight="1">
      <x:c r="A61" s="7" t="str">
        <x:v>3.4.1h</x:v>
      </x:c>
      <x:c r="B61" s="7" t="str">
        <x:v>Protect</x:v>
      </x:c>
      <x:c r="C61" s="7" t="str">
        <x:v>Consider WA offshoring requirements before procurement.</x:v>
      </x:c>
      <x:c r="D61" s="6" t="str">
        <x:v>Not assessed</x:v>
      </x:c>
      <x:c r="E61" s="6" t="str"/>
      <x:c r="F61" s="6" t="str"/>
      <x:c r="G61" s="6" t="str"/>
      <x:c r="H61" s="8"/>
      <x:c r="I61" s="6" t="str"/>
      <x:c r="J61" s="9" t="str">
        <x:f>IF(OR(D61="",D61="Not assessed",D61="N/A"),"",IFERROR(VALUE(D61),"Invalid rating"))</x:f>
      </x:c>
      <x:c r="K61" s="7" t="str">
        <x:v>wa-csp:3.4.1h</x:v>
      </x:c>
    </x:row>
    <x:row r="62" ht="60" customHeight="1">
      <x:c r="A62" s="7" t="str">
        <x:v>3.4.2a</x:v>
      </x:c>
      <x:c r="B62" s="7" t="str">
        <x:v>Protect</x:v>
      </x:c>
      <x:c r="C62" s="7" t="str">
        <x:v>Require suppliers to report incidents to the department within 24 hours of detection.</x:v>
      </x:c>
      <x:c r="D62" s="6" t="str">
        <x:v>Not assessed</x:v>
      </x:c>
      <x:c r="E62" s="6" t="str"/>
      <x:c r="F62" s="6" t="str"/>
      <x:c r="G62" s="6" t="str"/>
      <x:c r="H62" s="8"/>
      <x:c r="I62" s="6" t="str"/>
      <x:c r="J62" s="9" t="str">
        <x:f>IF(OR(D62="",D62="Not assessed",D62="N/A"),"",IFERROR(VALUE(D62),"Invalid rating"))</x:f>
      </x:c>
      <x:c r="K62" s="7" t="str">
        <x:v>wa-csp:3.4.2a</x:v>
      </x:c>
    </x:row>
    <x:row r="63" ht="60" customHeight="1">
      <x:c r="A63" s="7" t="str">
        <x:v>3.4.2b</x:v>
      </x:c>
      <x:c r="B63" s="7" t="str">
        <x:v>Protect</x:v>
      </x:c>
      <x:c r="C63" s="7" t="str">
        <x:v>Require suppliers to maintain relevant security certifications during the contract.</x:v>
      </x:c>
      <x:c r="D63" s="6" t="str">
        <x:v>Not assessed</x:v>
      </x:c>
      <x:c r="E63" s="6" t="str"/>
      <x:c r="F63" s="6" t="str"/>
      <x:c r="G63" s="6" t="str"/>
      <x:c r="H63" s="8"/>
      <x:c r="I63" s="6" t="str"/>
      <x:c r="J63" s="9" t="str">
        <x:f>IF(OR(D63="",D63="Not assessed",D63="N/A"),"",IFERROR(VALUE(D63),"Invalid rating"))</x:f>
      </x:c>
      <x:c r="K63" s="7" t="str">
        <x:v>wa-csp:3.4.2b</x:v>
      </x:c>
    </x:row>
    <x:row r="64" ht="60" customHeight="1">
      <x:c r="A64" s="7" t="str">
        <x:v>3.4.2c</x:v>
      </x:c>
      <x:c r="B64" s="7" t="str">
        <x:v>Protect</x:v>
      </x:c>
      <x:c r="C64" s="7" t="str">
        <x:v>Require protection of department information throughout the contract.</x:v>
      </x:c>
      <x:c r="D64" s="6" t="str">
        <x:v>Not assessed</x:v>
      </x:c>
      <x:c r="E64" s="6" t="str"/>
      <x:c r="F64" s="6" t="str"/>
      <x:c r="G64" s="6" t="str"/>
      <x:c r="H64" s="8"/>
      <x:c r="I64" s="6" t="str"/>
      <x:c r="J64" s="9" t="str">
        <x:f>IF(OR(D64="",D64="Not assessed",D64="N/A"),"",IFERROR(VALUE(D64),"Invalid rating"))</x:f>
      </x:c>
      <x:c r="K64" s="7" t="str">
        <x:v>wa-csp:3.4.2c</x:v>
      </x:c>
    </x:row>
    <x:row r="65" ht="60" customHeight="1">
      <x:c r="A65" s="7" t="str">
        <x:v>3.4.2d</x:v>
      </x:c>
      <x:c r="B65" s="7" t="str">
        <x:v>Protect</x:v>
      </x:c>
      <x:c r="C65" s="7" t="str">
        <x:v>Require secure disposal or return of department data when a contract ends.</x:v>
      </x:c>
      <x:c r="D65" s="6" t="str">
        <x:v>Not assessed</x:v>
      </x:c>
      <x:c r="E65" s="6" t="str"/>
      <x:c r="F65" s="6" t="str"/>
      <x:c r="G65" s="6" t="str"/>
      <x:c r="H65" s="8"/>
      <x:c r="I65" s="6" t="str"/>
      <x:c r="J65" s="9" t="str">
        <x:f>IF(OR(D65="",D65="Not assessed",D65="N/A"),"",IFERROR(VALUE(D65),"Invalid rating"))</x:f>
      </x:c>
      <x:c r="K65" s="7" t="str">
        <x:v>wa-csp:3.4.2d</x:v>
      </x:c>
    </x:row>
    <x:row r="66" ht="60" customHeight="1">
      <x:c r="A66" s="7" t="str">
        <x:v>3.4.2e</x:v>
      </x:c>
      <x:c r="B66" s="7" t="str">
        <x:v>Protect</x:v>
      </x:c>
      <x:c r="C66" s="7" t="str">
        <x:v>Include penalties or termination rights for security failures.</x:v>
      </x:c>
      <x:c r="D66" s="6" t="str">
        <x:v>Not assessed</x:v>
      </x:c>
      <x:c r="E66" s="6" t="str"/>
      <x:c r="F66" s="6" t="str"/>
      <x:c r="G66" s="6" t="str"/>
      <x:c r="H66" s="8"/>
      <x:c r="I66" s="6" t="str"/>
      <x:c r="J66" s="9" t="str">
        <x:f>IF(OR(D66="",D66="Not assessed",D66="N/A"),"",IFERROR(VALUE(D66),"Invalid rating"))</x:f>
      </x:c>
      <x:c r="K66" s="7" t="str">
        <x:v>wa-csp:3.4.2e</x:v>
      </x:c>
    </x:row>
    <x:row r="67" ht="60" customHeight="1">
      <x:c r="A67" s="7" t="str">
        <x:v>3.4.2f</x:v>
      </x:c>
      <x:c r="B67" s="7" t="str">
        <x:v>Protect</x:v>
      </x:c>
      <x:c r="C67" s="7" t="str">
        <x:v>Include other relevant ACSC contractual security requirements.</x:v>
      </x:c>
      <x:c r="D67" s="6" t="str">
        <x:v>Not assessed</x:v>
      </x:c>
      <x:c r="E67" s="6" t="str"/>
      <x:c r="F67" s="6" t="str"/>
      <x:c r="G67" s="6" t="str"/>
      <x:c r="H67" s="8"/>
      <x:c r="I67" s="6" t="str"/>
      <x:c r="J67" s="9" t="str">
        <x:f>IF(OR(D67="",D67="Not assessed",D67="N/A"),"",IFERROR(VALUE(D67),"Invalid rating"))</x:f>
      </x:c>
      <x:c r="K67" s="7" t="str">
        <x:v>wa-csp:3.4.2f</x:v>
      </x:c>
    </x:row>
    <x:row r="68" ht="60" customHeight="1">
      <x:c r="A68" s="7" t="str">
        <x:v>3.5</x:v>
      </x:c>
      <x:c r="B68" s="7" t="str">
        <x:v>Protect</x:v>
      </x:c>
      <x:c r="C68" s="7" t="str">
        <x:v>Control physical access to ICT assets and protect them from damage.</x:v>
      </x:c>
      <x:c r="D68" s="6" t="str">
        <x:v>Not assessed</x:v>
      </x:c>
      <x:c r="E68" s="6" t="str"/>
      <x:c r="F68" s="6" t="str"/>
      <x:c r="G68" s="6" t="str"/>
      <x:c r="H68" s="8"/>
      <x:c r="I68" s="6" t="str"/>
      <x:c r="J68" s="9" t="str">
        <x:f>IF(OR(D68="",D68="Not assessed",D68="N/A"),"",IFERROR(VALUE(D68),"Invalid rating"))</x:f>
      </x:c>
      <x:c r="K68" s="7" t="str">
        <x:v>wa-csp:3.5</x:v>
      </x:c>
    </x:row>
    <x:row r="69" ht="60" customHeight="1">
      <x:c r="A69" s="7" t="str">
        <x:v>3.6a</x:v>
      </x:c>
      <x:c r="B69" s="7" t="str">
        <x:v>Protect</x:v>
      </x:c>
      <x:c r="C69" s="7" t="str">
        <x:v>Manage account creation, changes and removal through the personnel lifecycle.</x:v>
      </x:c>
      <x:c r="D69" s="6" t="str">
        <x:v>Not assessed</x:v>
      </x:c>
      <x:c r="E69" s="6" t="str"/>
      <x:c r="F69" s="6" t="str"/>
      <x:c r="G69" s="6" t="str"/>
      <x:c r="H69" s="8"/>
      <x:c r="I69" s="6" t="str"/>
      <x:c r="J69" s="9" t="str">
        <x:f>IF(OR(D69="",D69="Not assessed",D69="N/A"),"",IFERROR(VALUE(D69),"Invalid rating"))</x:f>
      </x:c>
      <x:c r="K69" s="7" t="str">
        <x:v>wa-csp:3.6a</x:v>
      </x:c>
    </x:row>
    <x:row r="70" ht="60" customHeight="1">
      <x:c r="A70" s="7" t="str">
        <x:v>3.6b</x:v>
      </x:c>
      <x:c r="B70" s="7" t="str">
        <x:v>Protect</x:v>
      </x:c>
      <x:c r="C70" s="7" t="str">
        <x:v>Limit account access to the privileges needed.</x:v>
      </x:c>
      <x:c r="D70" s="6" t="str">
        <x:v>Not assessed</x:v>
      </x:c>
      <x:c r="E70" s="6" t="str"/>
      <x:c r="F70" s="6" t="str"/>
      <x:c r="G70" s="6" t="str"/>
      <x:c r="H70" s="8"/>
      <x:c r="I70" s="6" t="str"/>
      <x:c r="J70" s="9" t="str">
        <x:f>IF(OR(D70="",D70="Not assessed",D70="N/A"),"",IFERROR(VALUE(D70),"Invalid rating"))</x:f>
      </x:c>
      <x:c r="K70" s="7" t="str">
        <x:v>wa-csp:3.6b</x:v>
      </x:c>
    </x:row>
    <x:row r="71" ht="60" customHeight="1">
      <x:c r="A71" s="7" t="str">
        <x:v>3.6c</x:v>
      </x:c>
      <x:c r="B71" s="7" t="str">
        <x:v>Protect</x:v>
      </x:c>
      <x:c r="C71" s="7" t="str">
        <x:v>Apply password filtering to all user accounts.</x:v>
      </x:c>
      <x:c r="D71" s="6" t="str">
        <x:v>Not assessed</x:v>
      </x:c>
      <x:c r="E71" s="6" t="str"/>
      <x:c r="F71" s="6" t="str"/>
      <x:c r="G71" s="6" t="str"/>
      <x:c r="H71" s="8"/>
      <x:c r="I71" s="6" t="str"/>
      <x:c r="J71" s="9" t="str">
        <x:f>IF(OR(D71="",D71="Not assessed",D71="N/A"),"",IFERROR(VALUE(D71),"Invalid rating"))</x:f>
      </x:c>
      <x:c r="K71" s="7" t="str">
        <x:v>wa-csp:3.6c</x:v>
      </x:c>
    </x:row>
    <x:row r="72" ht="60" customHeight="1">
      <x:c r="A72" s="7" t="str">
        <x:v>3.6d</x:v>
      </x:c>
      <x:c r="B72" s="7" t="str">
        <x:v>Protect</x:v>
      </x:c>
      <x:c r="C72" s="7" t="str">
        <x:v>Align authentication with WA Government guidance.</x:v>
      </x:c>
      <x:c r="D72" s="6" t="str">
        <x:v>Not assessed</x:v>
      </x:c>
      <x:c r="E72" s="6" t="str"/>
      <x:c r="F72" s="6" t="str"/>
      <x:c r="G72" s="6" t="str"/>
      <x:c r="H72" s="8"/>
      <x:c r="I72" s="6" t="str"/>
      <x:c r="J72" s="9" t="str">
        <x:f>IF(OR(D72="",D72="Not assessed",D72="N/A"),"",IFERROR(VALUE(D72),"Invalid rating"))</x:f>
      </x:c>
      <x:c r="K72" s="7" t="str">
        <x:v>wa-csp:3.6d</x:v>
      </x:c>
    </x:row>
    <x:row r="73" ht="60" customHeight="1">
      <x:c r="A73" s="7" t="str">
        <x:v>3.6e</x:v>
      </x:c>
      <x:c r="B73" s="7" t="str">
        <x:v>Protect</x:v>
      </x:c>
      <x:c r="C73" s="7" t="str">
        <x:v>Use protective DNS.</x:v>
      </x:c>
      <x:c r="D73" s="6" t="str">
        <x:v>Not assessed</x:v>
      </x:c>
      <x:c r="E73" s="6" t="str"/>
      <x:c r="F73" s="6" t="str"/>
      <x:c r="G73" s="6" t="str"/>
      <x:c r="H73" s="8"/>
      <x:c r="I73" s="6" t="str"/>
      <x:c r="J73" s="9" t="str">
        <x:f>IF(OR(D73="",D73="Not assessed",D73="N/A"),"",IFERROR(VALUE(D73),"Invalid rating"))</x:f>
      </x:c>
      <x:c r="K73" s="7" t="str">
        <x:v>wa-csp:3.6e</x:v>
      </x:c>
    </x:row>
    <x:row r="74" ht="60" customHeight="1">
      <x:c r="A74" s="7" t="str">
        <x:v>3.6f</x:v>
      </x:c>
      <x:c r="B74" s="7" t="str">
        <x:v>Protect</x:v>
      </x:c>
      <x:c r="C74" s="7" t="str">
        <x:v>Improve network controls supporting access security.</x:v>
      </x:c>
      <x:c r="D74" s="6" t="str">
        <x:v>Not assessed</x:v>
      </x:c>
      <x:c r="E74" s="6" t="str"/>
      <x:c r="F74" s="6" t="str"/>
      <x:c r="G74" s="6" t="str"/>
      <x:c r="H74" s="8"/>
      <x:c r="I74" s="6" t="str"/>
      <x:c r="J74" s="9" t="str">
        <x:f>IF(OR(D74="",D74="Not assessed",D74="N/A"),"",IFERROR(VALUE(D74),"Invalid rating"))</x:f>
      </x:c>
      <x:c r="K74" s="7" t="str">
        <x:v>wa-csp:3.6f</x:v>
      </x:c>
    </x:row>
    <x:row r="75" ht="60" customHeight="1">
      <x:c r="A75" s="7" t="str">
        <x:v>3.7a</x:v>
      </x:c>
      <x:c r="B75" s="7" t="str">
        <x:v>Protect</x:v>
      </x:c>
      <x:c r="C75" s="7" t="str">
        <x:v>Consider insurance for the department's own cyber incident losses.</x:v>
      </x:c>
      <x:c r="D75" s="6" t="str">
        <x:v>Not assessed</x:v>
      </x:c>
      <x:c r="E75" s="6" t="str"/>
      <x:c r="F75" s="6" t="str"/>
      <x:c r="G75" s="6" t="str"/>
      <x:c r="H75" s="8"/>
      <x:c r="I75" s="6" t="str"/>
      <x:c r="J75" s="9" t="str">
        <x:f>IF(OR(D75="",D75="Not assessed",D75="N/A"),"",IFERROR(VALUE(D75),"Invalid rating"))</x:f>
      </x:c>
      <x:c r="K75" s="7" t="str">
        <x:v>wa-csp:3.7a</x:v>
      </x:c>
    </x:row>
    <x:row r="76" ht="60" customHeight="1">
      <x:c r="A76" s="7" t="str">
        <x:v>3.7b</x:v>
      </x:c>
      <x:c r="B76" s="7" t="str">
        <x:v>Protect</x:v>
      </x:c>
      <x:c r="C76" s="7" t="str">
        <x:v>Consider insurance for third-party claims arising from cyber incidents.</x:v>
      </x:c>
      <x:c r="D76" s="6" t="str">
        <x:v>Not assessed</x:v>
      </x:c>
      <x:c r="E76" s="6" t="str"/>
      <x:c r="F76" s="6" t="str"/>
      <x:c r="G76" s="6" t="str"/>
      <x:c r="H76" s="8"/>
      <x:c r="I76" s="6" t="str"/>
      <x:c r="J76" s="9" t="str">
        <x:f>IF(OR(D76="",D76="Not assessed",D76="N/A"),"",IFERROR(VALUE(D76),"Invalid rating"))</x:f>
      </x:c>
      <x:c r="K76" s="7" t="str">
        <x:v>wa-csp:3.7b</x:v>
      </x:c>
    </x:row>
    <x:row r="77" ht="60" customHeight="1">
      <x:c r="A77" s="7" t="str">
        <x:v>4.1a</x:v>
      </x:c>
      <x:c r="B77" s="7" t="str">
        <x:v>Detect</x:v>
      </x:c>
      <x:c r="C77" s="7" t="str">
        <x:v>Analyse adverse events and escalate suspected incidents for triage.</x:v>
      </x:c>
      <x:c r="D77" s="6" t="str">
        <x:v>Not assessed</x:v>
      </x:c>
      <x:c r="E77" s="6" t="str"/>
      <x:c r="F77" s="6" t="str"/>
      <x:c r="G77" s="6" t="str"/>
      <x:c r="H77" s="8"/>
      <x:c r="I77" s="6" t="str"/>
      <x:c r="J77" s="9" t="str">
        <x:f>IF(OR(D77="",D77="Not assessed",D77="N/A"),"",IFERROR(VALUE(D77),"Invalid rating"))</x:f>
      </x:c>
      <x:c r="K77" s="7" t="str">
        <x:v>wa-csp:4.1a</x:v>
      </x:c>
    </x:row>
    <x:row r="78" ht="60" customHeight="1">
      <x:c r="A78" s="7" t="str">
        <x:v>4.1b</x:v>
      </x:c>
      <x:c r="B78" s="7" t="str">
        <x:v>Detect</x:v>
      </x:c>
      <x:c r="C78" s="7" t="str">
        <x:v>Review adverse events at least every 24 hours during normal operations and report suspected incidents.</x:v>
      </x:c>
      <x:c r="D78" s="6" t="str">
        <x:v>Not assessed</x:v>
      </x:c>
      <x:c r="E78" s="6" t="str"/>
      <x:c r="F78" s="6" t="str"/>
      <x:c r="G78" s="6" t="str"/>
      <x:c r="H78" s="8"/>
      <x:c r="I78" s="6" t="str"/>
      <x:c r="J78" s="9" t="str">
        <x:f>IF(OR(D78="",D78="Not assessed",D78="N/A"),"",IFERROR(VALUE(D78),"Invalid rating"))</x:f>
      </x:c>
      <x:c r="K78" s="7" t="str">
        <x:v>wa-csp:4.1b</x:v>
      </x:c>
    </x:row>
    <x:row r="79" ht="60" customHeight="1">
      <x:c r="A79" s="7" t="str">
        <x:v>4.1c</x:v>
      </x:c>
      <x:c r="B79" s="7" t="str">
        <x:v>Detect</x:v>
      </x:c>
      <x:c r="C79" s="7" t="str">
        <x:v>Assess the likely business impact of adverse events.</x:v>
      </x:c>
      <x:c r="D79" s="6" t="str">
        <x:v>Not assessed</x:v>
      </x:c>
      <x:c r="E79" s="6" t="str"/>
      <x:c r="F79" s="6" t="str"/>
      <x:c r="G79" s="6" t="str"/>
      <x:c r="H79" s="8"/>
      <x:c r="I79" s="6" t="str"/>
      <x:c r="J79" s="9" t="str">
        <x:f>IF(OR(D79="",D79="Not assessed",D79="N/A"),"",IFERROR(VALUE(D79),"Invalid rating"))</x:f>
      </x:c>
      <x:c r="K79" s="7" t="str">
        <x:v>wa-csp:4.1c</x:v>
      </x:c>
    </x:row>
    <x:row r="80" ht="60" customHeight="1">
      <x:c r="A80" s="7" t="str">
        <x:v>4.1d</x:v>
      </x:c>
      <x:c r="B80" s="7" t="str">
        <x:v>Detect</x:v>
      </x:c>
      <x:c r="C80" s="7" t="str">
        <x:v>Share acquired threat intelligence with DGov within 24 hours.</x:v>
      </x:c>
      <x:c r="D80" s="6" t="str">
        <x:v>Not assessed</x:v>
      </x:c>
      <x:c r="E80" s="6" t="str"/>
      <x:c r="F80" s="6" t="str"/>
      <x:c r="G80" s="6" t="str"/>
      <x:c r="H80" s="8"/>
      <x:c r="I80" s="6" t="str"/>
      <x:c r="J80" s="9" t="str">
        <x:f>IF(OR(D80="",D80="Not assessed",D80="N/A"),"",IFERROR(VALUE(D80),"Invalid rating"))</x:f>
      </x:c>
      <x:c r="K80" s="7" t="str">
        <x:v>wa-csp:4.1d</x:v>
      </x:c>
    </x:row>
    <x:row r="81" ht="60" customHeight="1">
      <x:c r="A81" s="7" t="str">
        <x:v>4.2a</x:v>
      </x:c>
      <x:c r="B81" s="7" t="str">
        <x:v>Detect</x:v>
      </x:c>
      <x:c r="C81" s="7" t="str">
        <x:v>Use a SIEM with continuing incident detection and response for assets and networks.</x:v>
      </x:c>
      <x:c r="D81" s="6" t="str">
        <x:v>Not assessed</x:v>
      </x:c>
      <x:c r="E81" s="6" t="str"/>
      <x:c r="F81" s="6" t="str"/>
      <x:c r="G81" s="6" t="str"/>
      <x:c r="H81" s="8"/>
      <x:c r="I81" s="6" t="str"/>
      <x:c r="J81" s="9" t="str">
        <x:f>IF(OR(D81="",D81="Not assessed",D81="N/A"),"",IFERROR(VALUE(D81),"Invalid rating"))</x:f>
      </x:c>
      <x:c r="K81" s="7" t="str">
        <x:v>wa-csp:4.2a</x:v>
      </x:c>
    </x:row>
    <x:row r="82" ht="60" customHeight="1">
      <x:c r="A82" s="7" t="str">
        <x:v>4.2b</x:v>
      </x:c>
      <x:c r="B82" s="7" t="str">
        <x:v>Detect</x:v>
      </x:c>
      <x:c r="C82" s="7" t="str">
        <x:v>Align data sources and detections with DGov's MITRE ATT&amp;CK baseline.</x:v>
      </x:c>
      <x:c r="D82" s="6" t="str">
        <x:v>Not assessed</x:v>
      </x:c>
      <x:c r="E82" s="6" t="str"/>
      <x:c r="F82" s="6" t="str"/>
      <x:c r="G82" s="6" t="str"/>
      <x:c r="H82" s="8"/>
      <x:c r="I82" s="6" t="str"/>
      <x:c r="J82" s="9" t="str">
        <x:f>IF(OR(D82="",D82="Not assessed",D82="N/A"),"",IFERROR(VALUE(D82),"Invalid rating"))</x:f>
      </x:c>
      <x:c r="K82" s="7" t="str">
        <x:v>wa-csp:4.2b</x:v>
      </x:c>
    </x:row>
    <x:row r="83" ht="60" customHeight="1">
      <x:c r="A83" s="7" t="str">
        <x:v>4.2c</x:v>
      </x:c>
      <x:c r="B83" s="7" t="str">
        <x:v>Detect</x:v>
      </x:c>
      <x:c r="C83" s="7" t="str">
        <x:v>Share SIEM incident information with DGov's SOC through integration or delegated access.</x:v>
      </x:c>
      <x:c r="D83" s="6" t="str">
        <x:v>Not assessed</x:v>
      </x:c>
      <x:c r="E83" s="6" t="str"/>
      <x:c r="F83" s="6" t="str"/>
      <x:c r="G83" s="6" t="str"/>
      <x:c r="H83" s="8"/>
      <x:c r="I83" s="6" t="str"/>
      <x:c r="J83" s="9" t="str">
        <x:f>IF(OR(D83="",D83="Not assessed",D83="N/A"),"",IFERROR(VALUE(D83),"Invalid rating"))</x:f>
      </x:c>
      <x:c r="K83" s="7" t="str">
        <x:v>wa-csp:4.2c</x:v>
      </x:c>
    </x:row>
    <x:row r="84" ht="60" customHeight="1">
      <x:c r="A84" s="7" t="str">
        <x:v>5.1a</x:v>
      </x:c>
      <x:c r="B84" s="7" t="str">
        <x:v>Respond</x:v>
      </x:c>
      <x:c r="C84" s="7" t="str">
        <x:v>Keep an incident response plan available for immediate use.</x:v>
      </x:c>
      <x:c r="D84" s="6" t="str">
        <x:v>Not assessed</x:v>
      </x:c>
      <x:c r="E84" s="6" t="str"/>
      <x:c r="F84" s="6" t="str"/>
      <x:c r="G84" s="6" t="str"/>
      <x:c r="H84" s="8"/>
      <x:c r="I84" s="6" t="str"/>
      <x:c r="J84" s="9" t="str">
        <x:f>IF(OR(D84="",D84="Not assessed",D84="N/A"),"",IFERROR(VALUE(D84),"Invalid rating"))</x:f>
      </x:c>
      <x:c r="K84" s="7" t="str">
        <x:v>wa-csp:5.1a</x:v>
      </x:c>
    </x:row>
    <x:row r="85" ht="60" customHeight="1">
      <x:c r="A85" s="7" t="str">
        <x:v>5.1b</x:v>
      </x:c>
      <x:c r="B85" s="7" t="str">
        <x:v>Respond</x:v>
      </x:c>
      <x:c r="C85" s="7" t="str">
        <x:v>Plan to triage incidents and determine a response within four hours.</x:v>
      </x:c>
      <x:c r="D85" s="6" t="str">
        <x:v>Not assessed</x:v>
      </x:c>
      <x:c r="E85" s="6" t="str"/>
      <x:c r="F85" s="6" t="str"/>
      <x:c r="G85" s="6" t="str"/>
      <x:c r="H85" s="8"/>
      <x:c r="I85" s="6" t="str"/>
      <x:c r="J85" s="9" t="str">
        <x:f>IF(OR(D85="",D85="Not assessed",D85="N/A"),"",IFERROR(VALUE(D85),"Invalid rating"))</x:f>
      </x:c>
      <x:c r="K85" s="7" t="str">
        <x:v>wa-csp:5.1b</x:v>
      </x:c>
    </x:row>
    <x:row r="86" ht="60" customHeight="1">
      <x:c r="A86" s="7" t="str">
        <x:v>5.1c</x:v>
      </x:c>
      <x:c r="B86" s="7" t="str">
        <x:v>Respond</x:v>
      </x:c>
      <x:c r="C86" s="7" t="str">
        <x:v>Plan to notify DGov of confirmed incidents within 24 hours of detection.</x:v>
      </x:c>
      <x:c r="D86" s="6" t="str">
        <x:v>Not assessed</x:v>
      </x:c>
      <x:c r="E86" s="6" t="str"/>
      <x:c r="F86" s="6" t="str"/>
      <x:c r="G86" s="6" t="str"/>
      <x:c r="H86" s="8"/>
      <x:c r="I86" s="6" t="str"/>
      <x:c r="J86" s="9" t="str">
        <x:f>IF(OR(D86="",D86="Not assessed",D86="N/A"),"",IFERROR(VALUE(D86),"Invalid rating"))</x:f>
      </x:c>
      <x:c r="K86" s="7" t="str">
        <x:v>wa-csp:5.1c</x:v>
      </x:c>
    </x:row>
    <x:row r="87" ht="60" customHeight="1">
      <x:c r="A87" s="7" t="str">
        <x:v>5.1d</x:v>
      </x:c>
      <x:c r="B87" s="7" t="str">
        <x:v>Respond</x:v>
      </x:c>
      <x:c r="C87" s="7" t="str">
        <x:v>Plan to report relevant incidents to ACSC through ReportCyber within 24 hours.</x:v>
      </x:c>
      <x:c r="D87" s="6" t="str">
        <x:v>Not assessed</x:v>
      </x:c>
      <x:c r="E87" s="6" t="str"/>
      <x:c r="F87" s="6" t="str"/>
      <x:c r="G87" s="6" t="str"/>
      <x:c r="H87" s="8"/>
      <x:c r="I87" s="6" t="str"/>
      <x:c r="J87" s="9" t="str">
        <x:f>IF(OR(D87="",D87="Not assessed",D87="N/A"),"",IFERROR(VALUE(D87),"Invalid rating"))</x:f>
      </x:c>
      <x:c r="K87" s="7" t="str">
        <x:v>wa-csp:5.1d</x:v>
      </x:c>
    </x:row>
    <x:row r="88" ht="60" customHeight="1">
      <x:c r="A88" s="7" t="str">
        <x:v>5.1e</x:v>
      </x:c>
      <x:c r="B88" s="7" t="str">
        <x:v>Respond</x:v>
      </x:c>
      <x:c r="C88" s="7" t="str">
        <x:v>Align the response plan with WA CSICF and ACSC response guidance.</x:v>
      </x:c>
      <x:c r="D88" s="6" t="str">
        <x:v>Not assessed</x:v>
      </x:c>
      <x:c r="E88" s="6" t="str"/>
      <x:c r="F88" s="6" t="str"/>
      <x:c r="G88" s="6" t="str"/>
      <x:c r="H88" s="8"/>
      <x:c r="I88" s="6" t="str"/>
      <x:c r="J88" s="9" t="str">
        <x:f>IF(OR(D88="",D88="Not assessed",D88="N/A"),"",IFERROR(VALUE(D88),"Invalid rating"))</x:f>
      </x:c>
      <x:c r="K88" s="7" t="str">
        <x:v>wa-csp:5.1e</x:v>
      </x:c>
    </x:row>
    <x:row r="89" ht="60" customHeight="1">
      <x:c r="A89" s="7" t="str">
        <x:v>5.2</x:v>
      </x:c>
      <x:c r="B89" s="7" t="str">
        <x:v>Respond</x:v>
      </x:c>
      <x:c r="C89" s="7" t="str">
        <x:v>Exercise incident response at least annually.</x:v>
      </x:c>
      <x:c r="D89" s="6" t="str">
        <x:v>Not assessed</x:v>
      </x:c>
      <x:c r="E89" s="6" t="str"/>
      <x:c r="F89" s="6" t="str"/>
      <x:c r="G89" s="6" t="str"/>
      <x:c r="H89" s="8"/>
      <x:c r="I89" s="6" t="str"/>
      <x:c r="J89" s="9" t="str">
        <x:f>IF(OR(D89="",D89="Not assessed",D89="N/A"),"",IFERROR(VALUE(D89),"Invalid rating"))</x:f>
      </x:c>
      <x:c r="K89" s="7" t="str">
        <x:v>wa-csp:5.2</x:v>
      </x:c>
    </x:row>
    <x:row r="90" ht="60" customHeight="1">
      <x:c r="A90" s="7" t="str">
        <x:v>5.3</x:v>
      </x:c>
      <x:c r="B90" s="7" t="str">
        <x:v>Respond</x:v>
      </x:c>
      <x:c r="C90" s="7" t="str">
        <x:v>Refer ransom demands to DGov and WA Police; reserve payment approval to SECC.</x:v>
      </x:c>
      <x:c r="D90" s="6" t="str">
        <x:v>Not assessed</x:v>
      </x:c>
      <x:c r="E90" s="6" t="str"/>
      <x:c r="F90" s="6" t="str"/>
      <x:c r="G90" s="6" t="str"/>
      <x:c r="H90" s="8"/>
      <x:c r="I90" s="6" t="str"/>
      <x:c r="J90" s="9" t="str">
        <x:f>IF(OR(D90="",D90="Not assessed",D90="N/A"),"",IFERROR(VALUE(D90),"Invalid rating"))</x:f>
      </x:c>
      <x:c r="K90" s="7" t="str">
        <x:v>wa-csp:5.3</x:v>
      </x:c>
    </x:row>
    <x:row r="91" ht="60" customHeight="1">
      <x:c r="A91" s="7" t="str">
        <x:v>6.1</x:v>
      </x:c>
      <x:c r="B91" s="7" t="str">
        <x:v>Recover</x:v>
      </x:c>
      <x:c r="C91" s="7" t="str">
        <x:v>Demonstrate restoration within the timeframes set in continuity or incident plans.</x:v>
      </x:c>
      <x:c r="D91" s="6" t="str">
        <x:v>Not assessed</x:v>
      </x:c>
      <x:c r="E91" s="6" t="str"/>
      <x:c r="F91" s="6" t="str"/>
      <x:c r="G91" s="6" t="str"/>
      <x:c r="H91" s="8"/>
      <x:c r="I91" s="6" t="str"/>
      <x:c r="J91" s="9" t="str">
        <x:f>IF(OR(D91="",D91="Not assessed",D91="N/A"),"",IFERROR(VALUE(D91),"Invalid rating"))</x:f>
      </x:c>
      <x:c r="K91" s="7" t="str">
        <x:v>wa-csp:6.1</x:v>
      </x:c>
    </x:row>
    <x:row r="92" ht="60" customHeight="1">
      <x:c r="A92" s="7" t="str">
        <x:v>6.2</x:v>
      </x:c>
      <x:c r="B92" s="7" t="str">
        <x:v>Recover</x:v>
      </x:c>
      <x:c r="C92" s="7" t="str">
        <x:v>Review significant incidents, update recovery plans where needed and send DGov the PIR within 20 working days of detection.</x:v>
      </x:c>
      <x:c r="D92" s="6" t="str">
        <x:v>Not assessed</x:v>
      </x:c>
      <x:c r="E92" s="6" t="str"/>
      <x:c r="F92" s="6" t="str"/>
      <x:c r="G92" s="6" t="str"/>
      <x:c r="H92" s="8"/>
      <x:c r="I92" s="6" t="str"/>
      <x:c r="J92" s="9" t="str">
        <x:f>IF(OR(D92="",D92="Not assessed",D92="N/A"),"",IFERROR(VALUE(D92),"Invalid rating"))</x:f>
      </x:c>
      <x:c r="K92" s="7" t="str">
        <x:v>wa-csp:6.2</x:v>
      </x:c>
    </x:row>
  </x:sheetData>
  <x:conditionalFormatting sqref="D7:D92">
    <x:cfRule type="cellIs" dxfId="0" priority="1" operator="lessThan">
      <x:formula>2</x:formula>
    </x:cfRule>
    <x:cfRule type="cellIs" dxfId="1" priority="2" operator="greaterThanOrEqual">
      <x:formula>3</x:formula>
    </x:cfRule>
  </x:conditionalFormatting>
  <x:dataValidations count="1">
    <x:dataValidation type="list" sqref="D7:D92">
      <x:formula1>"0,1,2,3,4,Not assessed,N/A"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3c5d050a7e24492"/>
  </x:tableParts>
</x:worksheet>
</file>